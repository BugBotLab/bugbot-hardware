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 Drive\Business\BugBotLab\Electronic design\Bugbot Final\"/>
    </mc:Choice>
  </mc:AlternateContent>
  <xr:revisionPtr revIDLastSave="0" documentId="13_ncr:1_{0FDF91C5-061D-4EB9-9757-5C45C996D3F0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ummary" sheetId="1" r:id="rId1"/>
    <sheet name="Costing" sheetId="2" r:id="rId2"/>
    <sheet name="Parts" sheetId="3" r:id="rId3"/>
    <sheet name="Motion" sheetId="4" r:id="rId4"/>
    <sheet name="Vision" sheetId="5" r:id="rId5"/>
    <sheet name="Odometry" sheetId="6" r:id="rId6"/>
    <sheet name="Fla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6" l="1"/>
  <c r="B17" i="6"/>
  <c r="J15" i="6"/>
  <c r="K14" i="6"/>
  <c r="I14" i="6"/>
  <c r="J14" i="6" s="1"/>
  <c r="H14" i="6"/>
  <c r="L14" i="6" s="1"/>
  <c r="G14" i="6"/>
  <c r="F14" i="6"/>
  <c r="K13" i="6"/>
  <c r="I13" i="6"/>
  <c r="J13" i="6" s="1"/>
  <c r="H13" i="6"/>
  <c r="L13" i="6" s="1"/>
  <c r="G13" i="6"/>
  <c r="F13" i="6"/>
  <c r="K12" i="6"/>
  <c r="I12" i="6"/>
  <c r="J12" i="6" s="1"/>
  <c r="H12" i="6"/>
  <c r="L12" i="6" s="1"/>
  <c r="G12" i="6"/>
  <c r="F12" i="6"/>
  <c r="K11" i="6"/>
  <c r="I11" i="6"/>
  <c r="J11" i="6" s="1"/>
  <c r="H11" i="6"/>
  <c r="L11" i="6" s="1"/>
  <c r="G11" i="6"/>
  <c r="F11" i="6"/>
  <c r="K10" i="6"/>
  <c r="I10" i="6"/>
  <c r="J10" i="6" s="1"/>
  <c r="H10" i="6"/>
  <c r="L10" i="6" s="1"/>
  <c r="G10" i="6"/>
  <c r="F10" i="6"/>
  <c r="K9" i="6"/>
  <c r="I9" i="6"/>
  <c r="J9" i="6" s="1"/>
  <c r="H9" i="6"/>
  <c r="L9" i="6" s="1"/>
  <c r="G9" i="6"/>
  <c r="F9" i="6"/>
  <c r="K8" i="6"/>
  <c r="I8" i="6"/>
  <c r="J8" i="6" s="1"/>
  <c r="H8" i="6"/>
  <c r="L8" i="6" s="1"/>
  <c r="G8" i="6"/>
  <c r="F8" i="6"/>
  <c r="K7" i="6"/>
  <c r="I7" i="6"/>
  <c r="J7" i="6" s="1"/>
  <c r="H7" i="6"/>
  <c r="L7" i="6" s="1"/>
  <c r="G7" i="6"/>
  <c r="F7" i="6"/>
  <c r="K6" i="6"/>
  <c r="J6" i="6"/>
  <c r="I6" i="6"/>
  <c r="H6" i="6"/>
  <c r="L6" i="6" s="1"/>
  <c r="G6" i="6"/>
  <c r="F6" i="6"/>
  <c r="K5" i="6"/>
  <c r="I5" i="6"/>
  <c r="J5" i="6" s="1"/>
  <c r="H5" i="6"/>
  <c r="L5" i="6" s="1"/>
  <c r="G5" i="6"/>
  <c r="F5" i="6"/>
  <c r="K4" i="6"/>
  <c r="I4" i="6"/>
  <c r="J4" i="6" s="1"/>
  <c r="H4" i="6"/>
  <c r="L4" i="6" s="1"/>
  <c r="G4" i="6"/>
  <c r="F4" i="6"/>
  <c r="K3" i="6"/>
  <c r="I3" i="6"/>
  <c r="J3" i="6" s="1"/>
  <c r="H3" i="6"/>
  <c r="L3" i="6" s="1"/>
  <c r="G3" i="6"/>
  <c r="B18" i="6" s="1"/>
  <c r="F3" i="6"/>
  <c r="B21" i="5"/>
  <c r="B19" i="5"/>
  <c r="C12" i="1" s="1"/>
  <c r="J17" i="5"/>
  <c r="J16" i="5"/>
  <c r="J15" i="5"/>
  <c r="K14" i="5"/>
  <c r="I14" i="5"/>
  <c r="J14" i="5" s="1"/>
  <c r="H14" i="5"/>
  <c r="L14" i="5" s="1"/>
  <c r="G14" i="5"/>
  <c r="F14" i="5"/>
  <c r="K13" i="5"/>
  <c r="J13" i="5"/>
  <c r="I13" i="5"/>
  <c r="H13" i="5"/>
  <c r="L13" i="5" s="1"/>
  <c r="G13" i="5"/>
  <c r="F13" i="5"/>
  <c r="K12" i="5"/>
  <c r="I12" i="5"/>
  <c r="J12" i="5" s="1"/>
  <c r="H12" i="5"/>
  <c r="L12" i="5" s="1"/>
  <c r="G12" i="5"/>
  <c r="F12" i="5"/>
  <c r="K11" i="5"/>
  <c r="I11" i="5"/>
  <c r="J11" i="5" s="1"/>
  <c r="H11" i="5"/>
  <c r="L11" i="5" s="1"/>
  <c r="G11" i="5"/>
  <c r="F11" i="5"/>
  <c r="K10" i="5"/>
  <c r="J10" i="5"/>
  <c r="I10" i="5"/>
  <c r="H10" i="5"/>
  <c r="L10" i="5" s="1"/>
  <c r="G10" i="5"/>
  <c r="F10" i="5"/>
  <c r="K9" i="5"/>
  <c r="I9" i="5"/>
  <c r="J9" i="5" s="1"/>
  <c r="H9" i="5"/>
  <c r="L9" i="5" s="1"/>
  <c r="G9" i="5"/>
  <c r="F9" i="5"/>
  <c r="K8" i="5"/>
  <c r="I8" i="5"/>
  <c r="J8" i="5" s="1"/>
  <c r="H8" i="5"/>
  <c r="L8" i="5" s="1"/>
  <c r="G8" i="5"/>
  <c r="F8" i="5"/>
  <c r="K7" i="5"/>
  <c r="I7" i="5"/>
  <c r="J7" i="5" s="1"/>
  <c r="H7" i="5"/>
  <c r="L7" i="5" s="1"/>
  <c r="G7" i="5"/>
  <c r="F7" i="5"/>
  <c r="K6" i="5"/>
  <c r="I6" i="5"/>
  <c r="J6" i="5" s="1"/>
  <c r="H6" i="5"/>
  <c r="L6" i="5" s="1"/>
  <c r="G6" i="5"/>
  <c r="B20" i="5" s="1"/>
  <c r="F6" i="5"/>
  <c r="K5" i="5"/>
  <c r="I5" i="5"/>
  <c r="J5" i="5" s="1"/>
  <c r="H5" i="5"/>
  <c r="L5" i="5" s="1"/>
  <c r="G5" i="5"/>
  <c r="F5" i="5"/>
  <c r="L4" i="5"/>
  <c r="K4" i="5"/>
  <c r="I4" i="5"/>
  <c r="J4" i="5" s="1"/>
  <c r="H4" i="5"/>
  <c r="G4" i="5"/>
  <c r="F4" i="5"/>
  <c r="K3" i="5"/>
  <c r="J3" i="5"/>
  <c r="I3" i="5"/>
  <c r="H3" i="5"/>
  <c r="L3" i="5" s="1"/>
  <c r="G3" i="5"/>
  <c r="F3" i="5"/>
  <c r="B36" i="4"/>
  <c r="B34" i="4"/>
  <c r="J32" i="4"/>
  <c r="J31" i="4"/>
  <c r="K30" i="4"/>
  <c r="I30" i="4"/>
  <c r="J30" i="4" s="1"/>
  <c r="H30" i="4"/>
  <c r="L30" i="4" s="1"/>
  <c r="G30" i="4"/>
  <c r="F30" i="4"/>
  <c r="K29" i="4"/>
  <c r="I29" i="4"/>
  <c r="J29" i="4" s="1"/>
  <c r="H29" i="4"/>
  <c r="L29" i="4" s="1"/>
  <c r="G29" i="4"/>
  <c r="F29" i="4"/>
  <c r="K28" i="4"/>
  <c r="I28" i="4"/>
  <c r="J28" i="4" s="1"/>
  <c r="H28" i="4"/>
  <c r="L28" i="4" s="1"/>
  <c r="G28" i="4"/>
  <c r="F28" i="4"/>
  <c r="K27" i="4"/>
  <c r="J27" i="4"/>
  <c r="I27" i="4"/>
  <c r="H27" i="4"/>
  <c r="L27" i="4" s="1"/>
  <c r="G27" i="4"/>
  <c r="F27" i="4"/>
  <c r="K26" i="4"/>
  <c r="I26" i="4"/>
  <c r="J26" i="4" s="1"/>
  <c r="H26" i="4"/>
  <c r="L26" i="4" s="1"/>
  <c r="G26" i="4"/>
  <c r="F26" i="4"/>
  <c r="K25" i="4"/>
  <c r="I25" i="4"/>
  <c r="J25" i="4" s="1"/>
  <c r="H25" i="4"/>
  <c r="L25" i="4" s="1"/>
  <c r="G25" i="4"/>
  <c r="F25" i="4"/>
  <c r="K24" i="4"/>
  <c r="I24" i="4"/>
  <c r="J24" i="4" s="1"/>
  <c r="H24" i="4"/>
  <c r="L24" i="4" s="1"/>
  <c r="G24" i="4"/>
  <c r="F24" i="4"/>
  <c r="K23" i="4"/>
  <c r="I23" i="4"/>
  <c r="J23" i="4" s="1"/>
  <c r="H23" i="4"/>
  <c r="L23" i="4" s="1"/>
  <c r="G23" i="4"/>
  <c r="F23" i="4"/>
  <c r="K22" i="4"/>
  <c r="I22" i="4"/>
  <c r="J22" i="4" s="1"/>
  <c r="H22" i="4"/>
  <c r="L22" i="4" s="1"/>
  <c r="G22" i="4"/>
  <c r="F22" i="4"/>
  <c r="K21" i="4"/>
  <c r="J21" i="4"/>
  <c r="I21" i="4"/>
  <c r="H21" i="4"/>
  <c r="L21" i="4" s="1"/>
  <c r="G21" i="4"/>
  <c r="F21" i="4"/>
  <c r="K20" i="4"/>
  <c r="I20" i="4"/>
  <c r="J20" i="4" s="1"/>
  <c r="H20" i="4"/>
  <c r="L20" i="4" s="1"/>
  <c r="G20" i="4"/>
  <c r="F20" i="4"/>
  <c r="K19" i="4"/>
  <c r="I19" i="4"/>
  <c r="J19" i="4" s="1"/>
  <c r="H19" i="4"/>
  <c r="L19" i="4" s="1"/>
  <c r="G19" i="4"/>
  <c r="F19" i="4"/>
  <c r="K18" i="4"/>
  <c r="I18" i="4"/>
  <c r="J18" i="4" s="1"/>
  <c r="H18" i="4"/>
  <c r="L18" i="4" s="1"/>
  <c r="G18" i="4"/>
  <c r="F18" i="4"/>
  <c r="K17" i="4"/>
  <c r="I17" i="4"/>
  <c r="J17" i="4" s="1"/>
  <c r="H17" i="4"/>
  <c r="L17" i="4" s="1"/>
  <c r="G17" i="4"/>
  <c r="F17" i="4"/>
  <c r="K16" i="4"/>
  <c r="I16" i="4"/>
  <c r="J16" i="4" s="1"/>
  <c r="H16" i="4"/>
  <c r="L16" i="4" s="1"/>
  <c r="G16" i="4"/>
  <c r="F16" i="4"/>
  <c r="K15" i="4"/>
  <c r="I15" i="4"/>
  <c r="J15" i="4" s="1"/>
  <c r="H15" i="4"/>
  <c r="L15" i="4" s="1"/>
  <c r="G15" i="4"/>
  <c r="F15" i="4"/>
  <c r="K14" i="4"/>
  <c r="I14" i="4"/>
  <c r="J14" i="4" s="1"/>
  <c r="H14" i="4"/>
  <c r="L14" i="4" s="1"/>
  <c r="G14" i="4"/>
  <c r="F14" i="4"/>
  <c r="K13" i="4"/>
  <c r="I13" i="4"/>
  <c r="J13" i="4" s="1"/>
  <c r="H13" i="4"/>
  <c r="L13" i="4" s="1"/>
  <c r="G13" i="4"/>
  <c r="F13" i="4"/>
  <c r="K12" i="4"/>
  <c r="I12" i="4"/>
  <c r="J12" i="4" s="1"/>
  <c r="H12" i="4"/>
  <c r="L12" i="4" s="1"/>
  <c r="G12" i="4"/>
  <c r="F12" i="4"/>
  <c r="K11" i="4"/>
  <c r="I11" i="4"/>
  <c r="J11" i="4" s="1"/>
  <c r="H11" i="4"/>
  <c r="L11" i="4" s="1"/>
  <c r="G11" i="4"/>
  <c r="F11" i="4"/>
  <c r="K10" i="4"/>
  <c r="J10" i="4"/>
  <c r="I10" i="4"/>
  <c r="H10" i="4"/>
  <c r="L10" i="4" s="1"/>
  <c r="G10" i="4"/>
  <c r="F10" i="4"/>
  <c r="K9" i="4"/>
  <c r="I9" i="4"/>
  <c r="J9" i="4" s="1"/>
  <c r="H9" i="4"/>
  <c r="L9" i="4" s="1"/>
  <c r="G9" i="4"/>
  <c r="F9" i="4"/>
  <c r="K8" i="4"/>
  <c r="I8" i="4"/>
  <c r="J8" i="4" s="1"/>
  <c r="H8" i="4"/>
  <c r="L8" i="4" s="1"/>
  <c r="G8" i="4"/>
  <c r="F8" i="4"/>
  <c r="K7" i="4"/>
  <c r="I7" i="4"/>
  <c r="J7" i="4" s="1"/>
  <c r="H7" i="4"/>
  <c r="L7" i="4" s="1"/>
  <c r="G7" i="4"/>
  <c r="F7" i="4"/>
  <c r="K6" i="4"/>
  <c r="I6" i="4"/>
  <c r="J6" i="4" s="1"/>
  <c r="H6" i="4"/>
  <c r="L6" i="4" s="1"/>
  <c r="G6" i="4"/>
  <c r="F6" i="4"/>
  <c r="K5" i="4"/>
  <c r="I5" i="4"/>
  <c r="J5" i="4" s="1"/>
  <c r="H5" i="4"/>
  <c r="L5" i="4" s="1"/>
  <c r="G5" i="4"/>
  <c r="F5" i="4"/>
  <c r="L4" i="4"/>
  <c r="K4" i="4"/>
  <c r="I4" i="4"/>
  <c r="J4" i="4" s="1"/>
  <c r="H4" i="4"/>
  <c r="G4" i="4"/>
  <c r="F4" i="4"/>
  <c r="K3" i="4"/>
  <c r="J3" i="4"/>
  <c r="I3" i="4"/>
  <c r="H3" i="4"/>
  <c r="L3" i="4" s="1"/>
  <c r="G3" i="4"/>
  <c r="F3" i="4"/>
  <c r="J44" i="3"/>
  <c r="K44" i="3" s="1"/>
  <c r="L44" i="3" s="1"/>
  <c r="J43" i="3"/>
  <c r="K43" i="3" s="1"/>
  <c r="L43" i="3" s="1"/>
  <c r="J42" i="3"/>
  <c r="K42" i="3" s="1"/>
  <c r="L42" i="3" s="1"/>
  <c r="J41" i="3"/>
  <c r="K41" i="3" s="1"/>
  <c r="L41" i="3" s="1"/>
  <c r="J40" i="3"/>
  <c r="K40" i="3" s="1"/>
  <c r="L40" i="3" s="1"/>
  <c r="K39" i="3"/>
  <c r="L39" i="3" s="1"/>
  <c r="J39" i="3"/>
  <c r="J38" i="3"/>
  <c r="K38" i="3" s="1"/>
  <c r="L38" i="3" s="1"/>
  <c r="J37" i="3"/>
  <c r="K37" i="3" s="1"/>
  <c r="L37" i="3" s="1"/>
  <c r="J36" i="3"/>
  <c r="K36" i="3" s="1"/>
  <c r="L36" i="3" s="1"/>
  <c r="K35" i="3"/>
  <c r="L35" i="3" s="1"/>
  <c r="J35" i="3"/>
  <c r="J34" i="3"/>
  <c r="K34" i="3" s="1"/>
  <c r="L34" i="3" s="1"/>
  <c r="J33" i="3"/>
  <c r="K33" i="3" s="1"/>
  <c r="L33" i="3" s="1"/>
  <c r="J32" i="3"/>
  <c r="K32" i="3" s="1"/>
  <c r="L32" i="3" s="1"/>
  <c r="J31" i="3"/>
  <c r="K31" i="3" s="1"/>
  <c r="L31" i="3" s="1"/>
  <c r="J30" i="3"/>
  <c r="K30" i="3" s="1"/>
  <c r="L30" i="3" s="1"/>
  <c r="J29" i="3"/>
  <c r="K29" i="3" s="1"/>
  <c r="L29" i="3" s="1"/>
  <c r="J28" i="3"/>
  <c r="K28" i="3" s="1"/>
  <c r="L28" i="3" s="1"/>
  <c r="J27" i="3"/>
  <c r="K27" i="3" s="1"/>
  <c r="L27" i="3" s="1"/>
  <c r="J26" i="3"/>
  <c r="K26" i="3" s="1"/>
  <c r="L26" i="3" s="1"/>
  <c r="J25" i="3"/>
  <c r="K25" i="3" s="1"/>
  <c r="L25" i="3" s="1"/>
  <c r="J24" i="3"/>
  <c r="K24" i="3" s="1"/>
  <c r="L24" i="3" s="1"/>
  <c r="J23" i="3"/>
  <c r="K23" i="3" s="1"/>
  <c r="L23" i="3" s="1"/>
  <c r="J22" i="3"/>
  <c r="K22" i="3" s="1"/>
  <c r="L22" i="3" s="1"/>
  <c r="J21" i="3"/>
  <c r="K21" i="3" s="1"/>
  <c r="L21" i="3" s="1"/>
  <c r="J20" i="3"/>
  <c r="K20" i="3" s="1"/>
  <c r="L20" i="3" s="1"/>
  <c r="J19" i="3"/>
  <c r="K19" i="3" s="1"/>
  <c r="L19" i="3" s="1"/>
  <c r="J18" i="3"/>
  <c r="K18" i="3" s="1"/>
  <c r="L18" i="3" s="1"/>
  <c r="J17" i="3"/>
  <c r="K17" i="3" s="1"/>
  <c r="L17" i="3" s="1"/>
  <c r="J16" i="3"/>
  <c r="K16" i="3" s="1"/>
  <c r="L16" i="3" s="1"/>
  <c r="K15" i="3"/>
  <c r="L15" i="3" s="1"/>
  <c r="J15" i="3"/>
  <c r="J14" i="3"/>
  <c r="K14" i="3" s="1"/>
  <c r="L14" i="3" s="1"/>
  <c r="J13" i="3"/>
  <c r="K13" i="3" s="1"/>
  <c r="L13" i="3" s="1"/>
  <c r="J12" i="3"/>
  <c r="K12" i="3" s="1"/>
  <c r="L12" i="3" s="1"/>
  <c r="J11" i="3"/>
  <c r="K11" i="3" s="1"/>
  <c r="L11" i="3" s="1"/>
  <c r="J10" i="3"/>
  <c r="K10" i="3" s="1"/>
  <c r="L10" i="3" s="1"/>
  <c r="J9" i="3"/>
  <c r="K9" i="3" s="1"/>
  <c r="L9" i="3" s="1"/>
  <c r="J8" i="3"/>
  <c r="K8" i="3" s="1"/>
  <c r="L8" i="3" s="1"/>
  <c r="J7" i="3"/>
  <c r="K7" i="3" s="1"/>
  <c r="L7" i="3" s="1"/>
  <c r="J6" i="3"/>
  <c r="K6" i="3" s="1"/>
  <c r="L6" i="3" s="1"/>
  <c r="J5" i="3"/>
  <c r="K5" i="3" s="1"/>
  <c r="L5" i="3" s="1"/>
  <c r="J4" i="3"/>
  <c r="K4" i="3" s="1"/>
  <c r="L4" i="3" s="1"/>
  <c r="J3" i="3"/>
  <c r="K3" i="3" s="1"/>
  <c r="L3" i="3" s="1"/>
  <c r="D39" i="2"/>
  <c r="D38" i="2"/>
  <c r="D37" i="2"/>
  <c r="E37" i="2" s="1"/>
  <c r="D36" i="2"/>
  <c r="E36" i="2" s="1"/>
  <c r="D35" i="2"/>
  <c r="D34" i="2"/>
  <c r="E34" i="2" s="1"/>
  <c r="D33" i="2"/>
  <c r="E33" i="2" s="1"/>
  <c r="D32" i="2"/>
  <c r="E32" i="2" s="1"/>
  <c r="D31" i="2"/>
  <c r="E31" i="2" s="1"/>
  <c r="D30" i="2"/>
  <c r="B24" i="2"/>
  <c r="F20" i="2"/>
  <c r="E20" i="2"/>
  <c r="C20" i="2"/>
  <c r="F19" i="2"/>
  <c r="C19" i="2"/>
  <c r="F18" i="2"/>
  <c r="E18" i="2"/>
  <c r="H18" i="2" s="1"/>
  <c r="C18" i="2"/>
  <c r="G18" i="2" s="1"/>
  <c r="B15" i="2"/>
  <c r="B26" i="2" s="1"/>
  <c r="B5" i="2"/>
  <c r="B4" i="2"/>
  <c r="I19" i="2" s="1"/>
  <c r="B14" i="1"/>
  <c r="I13" i="1"/>
  <c r="C13" i="1"/>
  <c r="I12" i="1"/>
  <c r="I11" i="1"/>
  <c r="C11" i="1"/>
  <c r="C14" i="1" l="1"/>
  <c r="I14" i="1"/>
  <c r="I18" i="2"/>
  <c r="E35" i="2"/>
  <c r="J18" i="2"/>
  <c r="H20" i="2"/>
  <c r="E38" i="2"/>
  <c r="B35" i="4"/>
  <c r="D18" i="2" s="1"/>
  <c r="E39" i="2"/>
  <c r="B41" i="2"/>
  <c r="J34" i="4"/>
  <c r="D11" i="1" s="1"/>
  <c r="J19" i="5"/>
  <c r="D12" i="1" s="1"/>
  <c r="G12" i="1" s="1"/>
  <c r="H12" i="1" s="1"/>
  <c r="E12" i="1"/>
  <c r="F12" i="1" s="1"/>
  <c r="D19" i="2"/>
  <c r="G19" i="2" s="1"/>
  <c r="B27" i="2"/>
  <c r="E13" i="1"/>
  <c r="F13" i="1" s="1"/>
  <c r="D20" i="2"/>
  <c r="G20" i="2" s="1"/>
  <c r="J20" i="2" s="1"/>
  <c r="B38" i="4"/>
  <c r="K11" i="1" s="1"/>
  <c r="B37" i="4"/>
  <c r="J11" i="1" s="1"/>
  <c r="B23" i="5"/>
  <c r="K12" i="1" s="1"/>
  <c r="B22" i="5"/>
  <c r="J12" i="1" s="1"/>
  <c r="B21" i="6"/>
  <c r="K13" i="1" s="1"/>
  <c r="B20" i="6"/>
  <c r="J13" i="1" s="1"/>
  <c r="J17" i="6"/>
  <c r="D13" i="1" s="1"/>
  <c r="G13" i="1" s="1"/>
  <c r="H13" i="1" s="1"/>
  <c r="E30" i="2"/>
  <c r="E19" i="2"/>
  <c r="H19" i="2" s="1"/>
  <c r="I20" i="2"/>
  <c r="E11" i="1" l="1"/>
  <c r="B42" i="2"/>
  <c r="B44" i="2" s="1"/>
  <c r="B45" i="2" s="1"/>
  <c r="B46" i="2" s="1"/>
  <c r="J19" i="2"/>
  <c r="B22" i="2" s="1"/>
  <c r="E14" i="1"/>
  <c r="F11" i="1"/>
  <c r="F14" i="1" s="1"/>
  <c r="B17" i="1" s="1"/>
  <c r="J14" i="1"/>
  <c r="K14" i="1"/>
  <c r="G11" i="1"/>
  <c r="D14" i="1"/>
  <c r="B16" i="1" s="1"/>
  <c r="G14" i="1" l="1"/>
  <c r="B23" i="2" s="1"/>
  <c r="B25" i="2" s="1"/>
  <c r="B28" i="2" s="1"/>
  <c r="H11" i="1"/>
  <c r="H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Number of complete robots (one of each board). Changes the parts cost and the stock check.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Approximate rate used in the 2026-09-06 costing discussion; update to the day's rate.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JLCPCB charges a one-off loading fee per extended part line per order; basic parts have no fee. Check the current fee at order time.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I3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Not a JLC part: enter your own unit price if you want it in the total.</t>
        </r>
      </text>
    </comment>
    <comment ref="I3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Not a JLC part: enter your own unit price if you want it in the total.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I1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Not a JLC part: enter your own unit price if you want it in the total.</t>
        </r>
      </text>
    </comment>
    <comment ref="I1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Not a JLC part: enter your own unit price if you want it in the total.</t>
        </r>
      </text>
    </comment>
    <comment ref="I1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Not a JLC part: enter your own unit price if you want it in the total.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I1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Not a JLC part: enter your own unit price if you want it in the total.</t>
        </r>
      </text>
    </comment>
  </commentList>
</comments>
</file>

<file path=xl/sharedStrings.xml><?xml version="1.0" encoding="utf-8"?>
<sst xmlns="http://schemas.openxmlformats.org/spreadsheetml/2006/main" count="975" uniqueCount="591">
  <si>
    <t>BugBot stack BOM</t>
  </si>
  <si>
    <t>Source: KiCad schematic netlists (golden, after the 2026-09-07 rework); LCSC fields; stock, price and part class read from jlcpcb.com part pages on 2026-09-06 (rework parts on 2026-09-07).</t>
  </si>
  <si>
    <t>Yellow cells are inputs you can change. Everything else is a formula.</t>
  </si>
  <si>
    <t>Boards to build (sets)</t>
  </si>
  <si>
    <t>USD per GBP</t>
  </si>
  <si>
    <t>JLC extended-part fee per line, USD</t>
  </si>
  <si>
    <t>Thin-stock threshold (pieces)</t>
  </si>
  <si>
    <t>Board</t>
  </si>
  <si>
    <t>Lines</t>
  </si>
  <si>
    <t>Parts per board</t>
  </si>
  <si>
    <t>JLC parts cost per board (USD)</t>
  </si>
  <si>
    <t>Extended lines</t>
  </si>
  <si>
    <t>Extended fee per order (USD)</t>
  </si>
  <si>
    <t>Parts cost per set of boards (USD)</t>
  </si>
  <si>
    <t>Parts cost per set (GBP)</t>
  </si>
  <si>
    <t>Lines with no JLC code</t>
  </si>
  <si>
    <t>Lines below thin-stock</t>
  </si>
  <si>
    <t>Lines short for the run</t>
  </si>
  <si>
    <t>BugBot Motion Board</t>
  </si>
  <si>
    <t>BugBot Vision Board</t>
  </si>
  <si>
    <t>BugBot Odometry Board</t>
  </si>
  <si>
    <t>Stack (one of each)</t>
  </si>
  <si>
    <t>Parts cost per robot, GBP (JLC parts only, no PCB, assembly, or the three hand-soldered parts)</t>
  </si>
  <si>
    <t>Extended-part fees for one order of all three boards, USD</t>
  </si>
  <si>
    <t>Not on JLC (bought and hand-soldered): Motion J8/J9 and Vision J8/J9 2x5 2.00 mm stack connectors, Vision U3 ESP32-P4 module, Odometry U2 PMW3360 sensor + LM19 lens. Mounting holes H1-H4 have no part.</t>
  </si>
  <si>
    <t>Thin stock on the day: DRV8830 (C127591) 129 pcs = 32 Motion boards; camera 22P top-contact connector (C2911765) 473; GH1.25 10-pin (C3029376) 1,796; ETA6003 (C5455585) 2,234. Nothing was pre-order or idle.</t>
  </si>
  <si>
    <t>Rework 2026-09-07: switch SW3 now on Vision (underside, top edge); servo connectors J10/J11 (side-entry GH1.25 3P) back on Motion; ToF J7 side-entry on the Vision underside; camera J3 = 22P 0.5 mm top-contact horizontal for the OV5647 spy module (pinout mirrored: pin k = Pi Zero pin 23-k). See the Flags sheet for the open items and the decisions taken.</t>
  </si>
  <si>
    <t>Order costing for the run (JLCPCB fees from jlcpcb.com/help/article/pcb-assembly-price and the quote form, read 2026-09-09)</t>
  </si>
  <si>
    <t>Yellow cells are inputs. Board part counts and Extended-line counts come from the board sheets; parts cost from the Summary sheet.</t>
  </si>
  <si>
    <t>Sets to build</t>
  </si>
  <si>
    <t>sets, from the Summary sheet</t>
  </si>
  <si>
    <t>from the Summary sheet</t>
  </si>
  <si>
    <t>PCB price, 4-layer 40x40 mm, 5 pcs (USD)</t>
  </si>
  <si>
    <t>quote form 2026-09-09, JLC04161H-3313 stackup, ENIG adds ~$15 per order</t>
  </si>
  <si>
    <t>Economic assembly setup (USD)</t>
  </si>
  <si>
    <t>top side only</t>
  </si>
  <si>
    <t>Economic stencil (USD)</t>
  </si>
  <si>
    <t>Economic feeder fee per Extended part type (USD)</t>
  </si>
  <si>
    <t>Basic parts free</t>
  </si>
  <si>
    <t>Standard both-sides setup (USD)</t>
  </si>
  <si>
    <t>needed when parts sit on both sides</t>
  </si>
  <si>
    <t>Standard both-sides stencil (USD)</t>
  </si>
  <si>
    <t>Standard feeder fee per part type (USD)</t>
  </si>
  <si>
    <t>Basic and Extended</t>
  </si>
  <si>
    <t>Solder joint (USD)</t>
  </si>
  <si>
    <t>per joint; about 2.5 joints per part on these boards</t>
  </si>
  <si>
    <t>Shipping, DHL Express DDP incl. duties and VAT (USD)</t>
  </si>
  <si>
    <t>one parcel, quote form estimate for ~0.25 kg</t>
  </si>
  <si>
    <t>ACTUAL JLC invoice, all orders incl. parts and shipping (USD)</t>
  </si>
  <si>
    <t>invoice 2444722A2026090908545474 of 09/09/2026: per-order totals in column K, shipping K21, discount B16; the totals below use it instead of the estimate</t>
  </si>
  <si>
    <t>JLC discount on the invoice (USD, negative)</t>
  </si>
  <si>
    <t>invoice line 'Discount'</t>
  </si>
  <si>
    <t>Assembly type</t>
  </si>
  <si>
    <t>JLC lines</t>
  </si>
  <si>
    <t>Setup + stencil (USD)</t>
  </si>
  <si>
    <t>Feeder fees (USD)</t>
  </si>
  <si>
    <t>Joints (USD)</t>
  </si>
  <si>
    <t>PCB (USD)</t>
  </si>
  <si>
    <t>Board order estimate (USD)</t>
  </si>
  <si>
    <t>ACTUAL order total incl. parts (USD)</t>
  </si>
  <si>
    <t>JLC order number</t>
  </si>
  <si>
    <t>Standard both sides</t>
  </si>
  <si>
    <t>SMT026090960104-Y13</t>
  </si>
  <si>
    <t>Economic top only</t>
  </si>
  <si>
    <t>SMT026090960086-Y12</t>
  </si>
  <si>
    <t>SMT026090960075-Y11</t>
  </si>
  <si>
    <t>Actual shipping, DHL Express (USD)</t>
  </si>
  <si>
    <t>JLC assembly and PCBs, three orders (USD)</t>
  </si>
  <si>
    <t>JLC components for the run (USD, Summary sheet)</t>
  </si>
  <si>
    <t>Shipping (USD)</t>
  </si>
  <si>
    <t>JLC total, estimate (USD)</t>
  </si>
  <si>
    <t>JLC total used below: actual invoice if entered, else the estimate (USD)</t>
  </si>
  <si>
    <t>JLC total used below (GBP)</t>
  </si>
  <si>
    <t>Vision underside parts hand-soldered by you for the Economic option: C20, C21, J7 (ToF), SW3 (switch).</t>
  </si>
  <si>
    <t>Actual minus estimate (USD)</t>
  </si>
  <si>
    <t>Bought elsewhere (per robot)</t>
  </si>
  <si>
    <t>Qty per robot</t>
  </si>
  <si>
    <t>Unit price (USD)</t>
  </si>
  <si>
    <t>Per robot (USD)</t>
  </si>
  <si>
    <t>For the run (USD)</t>
  </si>
  <si>
    <t>Note</t>
  </si>
  <si>
    <t>ESP32-P4 module (Waveshare)</t>
  </si>
  <si>
    <t>Vision U3, hand-soldered</t>
  </si>
  <si>
    <t>OV5647 spy camera, 120 deg, 22-pin flex</t>
  </si>
  <si>
    <t>or Pi Zero camera board + short cable</t>
  </si>
  <si>
    <t>VL53L5CX ToF module + 6-way GH cable</t>
  </si>
  <si>
    <t>cable to the board's pin order</t>
  </si>
  <si>
    <t>PMW3360 sensor + LM19 lens</t>
  </si>
  <si>
    <t>Odometry U2</t>
  </si>
  <si>
    <t>2x5 2.00 mm socket 5.6 mm + header</t>
  </si>
  <si>
    <t>stack, hand-soldered</t>
  </si>
  <si>
    <t>GH1.25 10-way REVERSE cable</t>
  </si>
  <si>
    <t>cavity 1 to cavity 10</t>
  </si>
  <si>
    <t>1S LiPo 450 mAh 25C (Syma type)</t>
  </si>
  <si>
    <t>or 2 in parallel</t>
  </si>
  <si>
    <t>0615 coreless motor</t>
  </si>
  <si>
    <t>HK-5320 servo</t>
  </si>
  <si>
    <t>WS2812 LED ball</t>
  </si>
  <si>
    <t>Bought elsewhere, per robot (USD)</t>
  </si>
  <si>
    <t>Bought elsewhere, for the run (USD)</t>
  </si>
  <si>
    <t>TOTAL for the run (USD)</t>
  </si>
  <si>
    <t>TOTAL for the run (GBP)</t>
  </si>
  <si>
    <t>Per robot (GBP)</t>
  </si>
  <si>
    <t>Prices for the bought-elsewhere parts are estimates typed in as inputs; replace them with what you actually pay. JLC component prices are the 1-piece prices; at 5 sets JLC usually comes out a little lower.</t>
  </si>
  <si>
    <t>Unique JLC parts across the three boards. Stock, price (1-piece, USD) and class read live from jlcpcb.com on 2026-09-06 (2026-09-07 for the rework parts). None were idle / pre-order.</t>
  </si>
  <si>
    <t>LCSC</t>
  </si>
  <si>
    <t>MPN</t>
  </si>
  <si>
    <t>Manufacturer</t>
  </si>
  <si>
    <t>JLC description</t>
  </si>
  <si>
    <t>Class</t>
  </si>
  <si>
    <t>Stock</t>
  </si>
  <si>
    <t>Pre-order / idle</t>
  </si>
  <si>
    <t>Checked</t>
  </si>
  <si>
    <t>Total used per set</t>
  </si>
  <si>
    <t>Needed for run</t>
  </si>
  <si>
    <t>Stock status</t>
  </si>
  <si>
    <t>Datasheet</t>
  </si>
  <si>
    <t>C127591</t>
  </si>
  <si>
    <t>DRV8830DGQR</t>
  </si>
  <si>
    <t>Texas Instruments</t>
  </si>
  <si>
    <t>-40℃~+85℃ 1 1A 1A 2.75V~6.8V 300nA 450mΩ I2C Yes MSOP-10-EP Brushed DC Motor Drivers ROHS</t>
  </si>
  <si>
    <t>Extended</t>
  </si>
  <si>
    <t>No</t>
  </si>
  <si>
    <t>2026-09-06</t>
  </si>
  <si>
    <t>https://www.ti.com/lit/ds/symlink/drv8830.pdf</t>
  </si>
  <si>
    <t>C1525</t>
  </si>
  <si>
    <t>CL05B104KO5NNNC</t>
  </si>
  <si>
    <t>Samsung</t>
  </si>
  <si>
    <t>100nF 16V X7R ±10% 0402 Multilayer Ceramic Capacitors MLCC - SMD/SMT ROHS</t>
  </si>
  <si>
    <t>Basic</t>
  </si>
  <si>
    <t>https://jlcpcb.com/partdetail/C1525</t>
  </si>
  <si>
    <t>C15483</t>
  </si>
  <si>
    <t>TPS63020DSJR</t>
  </si>
  <si>
    <t>-40℃~+85℃@(TA) 1 1.2V~5.5V 1.8V~5.5V 2.4MHz 3A 50uA Adjustable Buck-Boost Buck-Boost Built-in Yes VSON-14-EP(3</t>
  </si>
  <si>
    <t>https://www.ti.com/lit/ds/symlink/tps63020.pdf</t>
  </si>
  <si>
    <t>C15850</t>
  </si>
  <si>
    <t>CL21A106KAYNNNE</t>
  </si>
  <si>
    <t>10uF 25V X5R ±10% 0805 Multilayer Ceramic Capacitors MLCC - SMD/SMT ROHS</t>
  </si>
  <si>
    <t>https://jlcpcb.com/partdetail/C15850</t>
  </si>
  <si>
    <t>C1653</t>
  </si>
  <si>
    <t>CL10C220JB8NNNC</t>
  </si>
  <si>
    <t>22pF 50V C0G 0603 ±5% Multilayer Ceramic Capacitors MLCC - SMD/SMT</t>
  </si>
  <si>
    <t>2026-09-07</t>
  </si>
  <si>
    <t>https://jlcpcb.com/partdetail/C1653</t>
  </si>
  <si>
    <t>C19666</t>
  </si>
  <si>
    <t>CL10A475KO8NNNC</t>
  </si>
  <si>
    <t>16V 4.7uF X5R ±10% 0603 Multilayer Ceramic Capacitors MLCC - SMD/SMT ROHS</t>
  </si>
  <si>
    <t>https://jlcpcb.com/partdetail/C19666</t>
  </si>
  <si>
    <t>C20627123</t>
  </si>
  <si>
    <t>1812L300/24GR</t>
  </si>
  <si>
    <t>LUTE</t>
  </si>
  <si>
    <t>-40℃~+85℃ 1.4W 1.5mm 10mΩ 24V 3.41mm 3A 4.73mm 40A 4s 5A 60mΩ 1812 Resettable Fuses ROHS</t>
  </si>
  <si>
    <t>https://jlcpcb.com/partdetail/C20627123</t>
  </si>
  <si>
    <t>C25076</t>
  </si>
  <si>
    <t>0402WGF1000TCE</t>
  </si>
  <si>
    <t>UNI-ROYAL</t>
  </si>
  <si>
    <t>-55℃~+155℃ 100Ω 50V 62.5mW Thick Film Resistor ±1% ±100ppm/℃ 0402 Chip Resistor - Surface Mount ROHS</t>
  </si>
  <si>
    <t>https://jlcpcb.com/partdetail/C25076</t>
  </si>
  <si>
    <t>C25105</t>
  </si>
  <si>
    <t>0402WGF330JTCE</t>
  </si>
  <si>
    <t>33Ω 62.5mW 0402 ±1% Chip Resistor - Surface Mount</t>
  </si>
  <si>
    <t>https://jlcpcb.com/partdetail/C25105</t>
  </si>
  <si>
    <t>C25741</t>
  </si>
  <si>
    <t>0402WGF1003TCE</t>
  </si>
  <si>
    <t>-55℃~+155℃ 100kΩ 50V 62.5mW Thick Film Resistor ±1% ±100ppm/℃ 0402 Chip Resistor - Surface Mount ROHS</t>
  </si>
  <si>
    <t>https://jlcpcb.com/partdetail/C25741</t>
  </si>
  <si>
    <t>C25744</t>
  </si>
  <si>
    <t>0402WGF1002TCE</t>
  </si>
  <si>
    <t>-55℃~+155℃ 10kΩ 50V 62.5mW Thick Film Resistor ±1% ±100ppm/℃ 0402 Chip Resistor - Surface Mount ROHS</t>
  </si>
  <si>
    <t>https://jlcpcb.com/partdetail/C25744</t>
  </si>
  <si>
    <t>C25760</t>
  </si>
  <si>
    <t>0402WGF1803TCE</t>
  </si>
  <si>
    <t>-55℃~+155℃ 180kΩ 50V 62.5mW Thick Film Resistor ±1% ±100ppm/℃ 0402 Chip Resistor - Surface Mount ROH</t>
  </si>
  <si>
    <t>https://jlcpcb.com/partdetail/C25760</t>
  </si>
  <si>
    <t>C25779</t>
  </si>
  <si>
    <t>0402WGF3302TCE</t>
  </si>
  <si>
    <t>33kΩ 62.5mW 0402 ±1% Chip Resistor - Surface Mount</t>
  </si>
  <si>
    <t>https://jlcpcb.com/partdetail/C25779</t>
  </si>
  <si>
    <t>C25792</t>
  </si>
  <si>
    <t>0402WGF4702TCE</t>
  </si>
  <si>
    <t>-55℃~+155℃ 47kΩ 50V 62.5mW Thick Film Resistor ±1% ±100ppm/℃ 0402 Chip Resistor - Surface Mount ROHS</t>
  </si>
  <si>
    <t>https://jlcpcb.com/partdetail/C25792</t>
  </si>
  <si>
    <t>C25879</t>
  </si>
  <si>
    <t>0402WGF2201TCE</t>
  </si>
  <si>
    <t>-55℃~+155℃ 2.2kΩ 50V 62.5mW Thick Film Resistor ±1% ±100ppm/℃ 0402 Chip Resistor - Surface Mount ROH</t>
  </si>
  <si>
    <t>https://jlcpcb.com/partdetail/C25879</t>
  </si>
  <si>
    <t>C25905</t>
  </si>
  <si>
    <t>0402WGF5101TCE</t>
  </si>
  <si>
    <t>-55℃~+155℃ 5.1kΩ 50V 62.5mW Thick Film Resistor ±1% ±100ppm/℃ 0402 Chip Resistor - Surface Mount ROH</t>
  </si>
  <si>
    <t>https://jlcpcb.com/partdetail/C25905</t>
  </si>
  <si>
    <t>C26083</t>
  </si>
  <si>
    <t>0402WGF1004TCE</t>
  </si>
  <si>
    <t>-55℃~+155℃ 1MΩ 50V 62.5mW Thick Film Resistor ±1% ±100ppm/℃ 0402 Chip Resistor - Surface Mount ROHS</t>
  </si>
  <si>
    <t>https://jlcpcb.com/partdetail/C26083</t>
  </si>
  <si>
    <t>C2687116</t>
  </si>
  <si>
    <t>USBLC6-2SC6</t>
  </si>
  <si>
    <t>UMW</t>
  </si>
  <si>
    <t>0.35pF、0.8pF 100nA 150W@8/20us 15V 2 5V 6A@8/20us 6V ESD SOT-23-6 ESD and Surge Protection (TVS/ESD)</t>
  </si>
  <si>
    <t>https://jlcpcb.com/partdetail/C2687116</t>
  </si>
  <si>
    <t>C274889</t>
  </si>
  <si>
    <t>RC0402FR-071K24L</t>
  </si>
  <si>
    <t>YAGEO</t>
  </si>
  <si>
    <t>-55℃~+155℃ 1.24kΩ 50V 62.5mW Thick Film Resistor ±1% ±100ppm/℃ 0402 Chip Resistor - Surface Mount RO</t>
  </si>
  <si>
    <t>https://jlcpcb.com/partdetail/C274889</t>
  </si>
  <si>
    <t>C2765186</t>
  </si>
  <si>
    <t>TYPE-C 16PIN 2MD(073)</t>
  </si>
  <si>
    <t>SHOU HAN</t>
  </si>
  <si>
    <t xml:space="preserve">-25℃~+85℃ 1 16P 3A 5,000 times 5V Black Female Surface Mount, Right Angle Type-C SMD USB Connectors </t>
  </si>
  <si>
    <t>https://jlcpcb.com/partdetail/C2765186</t>
  </si>
  <si>
    <t>C2911765</t>
  </si>
  <si>
    <t>0.5K-AS-22PWB</t>
  </si>
  <si>
    <t>HDGC</t>
  </si>
  <si>
    <t>22P 0.5mm pitch top-contact horizontal FFC/FPC connector (camera flex)</t>
  </si>
  <si>
    <t>https://jlcpcb.com/partdetail/C2911765</t>
  </si>
  <si>
    <t>C2934253</t>
  </si>
  <si>
    <t>FRL0603FR500TS</t>
  </si>
  <si>
    <t>FOJAN</t>
  </si>
  <si>
    <t>-55℃~+155℃ 100V 100mW 500mΩ Thick Film Resistor ±1% ±300ppm/℃ 0603 Chip Resistor - Surface Mount ROH</t>
  </si>
  <si>
    <t>https://jlcpcb.com/partdetail/C2934253</t>
  </si>
  <si>
    <t>C295747</t>
  </si>
  <si>
    <t>S2B-PH-SM4-TB(LF)(SN)</t>
  </si>
  <si>
    <t>JST</t>
  </si>
  <si>
    <t>-25℃~+85℃ 1 100V 1x2P 2 2A 2P 2mm 5.5mm 7.9mm 8.6mm Auxiliary Solder Pin Beige Copper alloy PA PH Su</t>
  </si>
  <si>
    <t>https://jlcpcb.com/partdetail/C295747</t>
  </si>
  <si>
    <t>C3029368</t>
  </si>
  <si>
    <t>WAFER-GH1.25-2PLB</t>
  </si>
  <si>
    <t>XUNPU</t>
  </si>
  <si>
    <t>-25℃~+85℃ 1 1.25mm 125V 1A 1x2P 2 2P 4.2mm 4.95mm 5.75mm Auxiliary Solder Pin Beige Brass GH LCP Sur</t>
  </si>
  <si>
    <t>https://jlcpcb.com/partdetail/C3029368</t>
  </si>
  <si>
    <t>C3029369</t>
  </si>
  <si>
    <t>WAFER-GH1.25-3PLB</t>
  </si>
  <si>
    <t>-25℃~+85℃ 1 1.25mm 125V 1A 1x3P 3 3P 4.2mm 4.95mm 7mm Auxiliary Solder Pin Beige Brass GH LCP Surfac</t>
  </si>
  <si>
    <t>https://jlcpcb.com/partdetail/C3029369</t>
  </si>
  <si>
    <t>C3029376</t>
  </si>
  <si>
    <t>WAFER-GH1.25-10PLB</t>
  </si>
  <si>
    <t>-25℃~+85℃ 1 1.25mm 10 10P 125V 15.75mm 1A 1x10P 4.2mm 4.95mm Auxiliary Solder Pin Beige Brass GH LCP</t>
  </si>
  <si>
    <t>https://jlcpcb.com/partdetail/C3029376</t>
  </si>
  <si>
    <t>C3029378</t>
  </si>
  <si>
    <t>WAFER-GH1.25-3PWB</t>
  </si>
  <si>
    <t>GH1.25 3P side-entry (horizontal) SMD wafer, 1.25mm pitch</t>
  </si>
  <si>
    <t>https://jlcpcb.com/partdetail/C3029378</t>
  </si>
  <si>
    <t>C3029381</t>
  </si>
  <si>
    <t>WAFER-GH1.25-6PWB</t>
  </si>
  <si>
    <t>GH1.25 6P side-entry (horizontal) SMD wafer, 1.25mm pitch</t>
  </si>
  <si>
    <t>https://jlcpcb.com/partdetail/C3029381</t>
  </si>
  <si>
    <t>C32346</t>
  </si>
  <si>
    <t>Q13FC13500004</t>
  </si>
  <si>
    <t>Seiko Epson</t>
  </si>
  <si>
    <t>-40℃~+85℃ 12.5pF 32.768kHz 70kΩ Crystal Oscillator ±20ppm SMD3215-2P Crystals ROHS</t>
  </si>
  <si>
    <t>https://jlcpcb.com/partdetail/C32346</t>
  </si>
  <si>
    <t>C344008</t>
  </si>
  <si>
    <t>SI2333</t>
  </si>
  <si>
    <t>BORN</t>
  </si>
  <si>
    <t>-55℃~+150℃ 1 P-Channel 1.25W 12V 1V 5.1A 59mΩ@1.8V 920pF SOT-23 MOSFETs ROHS</t>
  </si>
  <si>
    <t>https://www.vishay.com/docs/68868/si2333dds.pdf</t>
  </si>
  <si>
    <t>C408335</t>
  </si>
  <si>
    <t>MWSA0402S-2R2MT</t>
  </si>
  <si>
    <t>Sunlord</t>
  </si>
  <si>
    <t>2.2uH 4.5A 58mΩ 5A ±20% SMD,4.4x4.2mm Power Inductors ROHS</t>
  </si>
  <si>
    <t>https://jlcpcb.com/partdetail/C408335</t>
  </si>
  <si>
    <t>C4109</t>
  </si>
  <si>
    <t>0402WGF2001TCE</t>
  </si>
  <si>
    <t>-55℃~+155℃ 2kΩ 50V 62.5mW Thick Film Resistor ±1% ±100ppm/℃ 0402 Chip Resistor - Surface Mount ROHS</t>
  </si>
  <si>
    <t>https://jlcpcb.com/partdetail/C4109</t>
  </si>
  <si>
    <t>C431540</t>
  </si>
  <si>
    <t>MSK12C02</t>
  </si>
  <si>
    <t>-20℃~+70℃ 1.4mm 10000 times 12V 2.8mm 50mA 8mm SMD(SMT) Tab SPDT Surface Mount, Right Angle SMD,8x2.</t>
  </si>
  <si>
    <t>https://jlcpcb.com/partdetail/C431540</t>
  </si>
  <si>
    <t>C45783</t>
  </si>
  <si>
    <t>CL21A226MAQNNNE</t>
  </si>
  <si>
    <t>22uF 25V X5R ±20% 0805 Multilayer Ceramic Capacitors MLCC - SMD/SMT ROHS</t>
  </si>
  <si>
    <t>https://jlcpcb.com/partdetail/C45783</t>
  </si>
  <si>
    <t>C52923</t>
  </si>
  <si>
    <t>CL05A105KA5NQNC</t>
  </si>
  <si>
    <t>1uF 25V X5R ±10% 0402 Multilayer Ceramic Capacitors MLCC - SMD/SMT ROHS</t>
  </si>
  <si>
    <t>https://jlcpcb.com/partdetail/C52923</t>
  </si>
  <si>
    <t>C5455585</t>
  </si>
  <si>
    <t>ETA6003Q3Q</t>
  </si>
  <si>
    <t>etasolution</t>
  </si>
  <si>
    <t>-40℃~+85℃ 1 2A 4.2V 4.4V~5.5V 70uA Charging IC Lithium Battery Support Support QFN3X3-16 Battery Man</t>
  </si>
  <si>
    <t>https://jlcpcb.com/partdetail/C5455585</t>
  </si>
  <si>
    <t>C5832356</t>
  </si>
  <si>
    <t>FTC252010S1R0MBCA</t>
  </si>
  <si>
    <t>cjiang</t>
  </si>
  <si>
    <t>1uH 25mΩ 4.5A 5.3A ±20% 1008 Molding Power Inductors ROHS</t>
  </si>
  <si>
    <t>https://jlcpcb.com/partdetail/C5832356</t>
  </si>
  <si>
    <t>C7196</t>
  </si>
  <si>
    <t>TAJB107M010RNJ</t>
  </si>
  <si>
    <t>AVX</t>
  </si>
  <si>
    <t>-55℃~+125℃ 1.4Ω@100kHz 100uF 10V ±20% CASE-B-3528-21(mm) Tantalum Capacitors ROHS</t>
  </si>
  <si>
    <t>https://jlcpcb.com/partdetail/C7196</t>
  </si>
  <si>
    <t>C7470171</t>
  </si>
  <si>
    <t>ZX-QC4545-4.3TP</t>
  </si>
  <si>
    <t>Megastar</t>
  </si>
  <si>
    <t>-30℃~+80℃ 100,000 cycles 12V 2.6N 4.3mm 4.5mm 4.5mm 50mA Black Gull Wing Round Button SPST Surface M</t>
  </si>
  <si>
    <t>https://jlcpcb.com/partdetail/C7470171</t>
  </si>
  <si>
    <t>C93216</t>
  </si>
  <si>
    <t>BNO055</t>
  </si>
  <si>
    <t>Bosch Sensortec</t>
  </si>
  <si>
    <t>-40℃~+85℃ 2.4V~3.6V 40uA I2C、UART IMU X,Y,Z X,Y,Z ±16g ±2000dps LGA-28(3.8x5.2) Accelerometers ROHS</t>
  </si>
  <si>
    <t>https://www.bosch-sensortec.com/media/boschsensortec/downloads/datasheets/bst-bno055-ds000.pdf</t>
  </si>
  <si>
    <t>C95939</t>
  </si>
  <si>
    <t>SDNT1005X103F3950FTF</t>
  </si>
  <si>
    <t>-55℃~+125℃ 0.5mm 0.5mm 100mW 10kΩ 1mW/℃ 1mm 330uA 3950K 3s ±1% ±1% 0402 NTC Thermistors ROHS</t>
  </si>
  <si>
    <t>https://jlcpcb.com/partdetail/C95939</t>
  </si>
  <si>
    <t>C96343</t>
  </si>
  <si>
    <t>AP2127K-ADJTRG1</t>
  </si>
  <si>
    <t>Diodes Inc</t>
  </si>
  <si>
    <t>-40℃~+85℃ 1 300mA 300mV@(300mA) 45dB@(10kHz)、68dB@(100Hz) 60uA 60uVrms 800mV~5.5V 9V Adjustable Over</t>
  </si>
  <si>
    <t>https://www.diodes.com/assets/Datasheets/AP2127.pdf</t>
  </si>
  <si>
    <t>BugBot Motion Board BOM (per board). Refs and quantities from Motion_sch_netlist.xml; prices and stock via the Parts sheet.</t>
  </si>
  <si>
    <t>Refs</t>
  </si>
  <si>
    <t>Qty</t>
  </si>
  <si>
    <t>Value</t>
  </si>
  <si>
    <t>Footprint</t>
  </si>
  <si>
    <t>Line cost (USD)</t>
  </si>
  <si>
    <t>Source / status</t>
  </si>
  <si>
    <t>C1, C2, C6, C8, C14, C16, C18, C20, C23</t>
  </si>
  <si>
    <t>10u</t>
  </si>
  <si>
    <t>Capacitor_SMD:C_0805_2012Metric</t>
  </si>
  <si>
    <t>C4</t>
  </si>
  <si>
    <t>1u</t>
  </si>
  <si>
    <t>Capacitor_SMD:C_0402_1005Metric</t>
  </si>
  <si>
    <t>C5, C9, C21, C22</t>
  </si>
  <si>
    <t>22u</t>
  </si>
  <si>
    <t>C7, C13, C15, C17, C19, C24</t>
  </si>
  <si>
    <t>100n</t>
  </si>
  <si>
    <t>CB1</t>
  </si>
  <si>
    <t>100u</t>
  </si>
  <si>
    <t>Capacitor_Tantalum_SMD:CP_EIA-3528-21_Kemet-B</t>
  </si>
  <si>
    <t>F1</t>
  </si>
  <si>
    <t>3A/6A PTC</t>
  </si>
  <si>
    <t>Fuse:Fuse_1812_4532Metric</t>
  </si>
  <si>
    <t>J1</t>
  </si>
  <si>
    <t>USB-C 16P</t>
  </si>
  <si>
    <t>jlc:USB-C-SMD_TYPE-C-16PIN-2MD-073</t>
  </si>
  <si>
    <t>J2</t>
  </si>
  <si>
    <t>JST-PH 2P batt</t>
  </si>
  <si>
    <t>jlc:CONN-SMD_P2.00_S2B-PH-SM4-TB-LF-SN</t>
  </si>
  <si>
    <t>J3, J4, J5, J6</t>
  </si>
  <si>
    <t>Motor A GH2</t>
  </si>
  <si>
    <t>Connector_JST:JST_GH_BM02B-GHS-TBT_1x02-1MP_P1.25mm_Vertical</t>
  </si>
  <si>
    <t>J7</t>
  </si>
  <si>
    <t>Optical flow + IMU GH10</t>
  </si>
  <si>
    <t>Connector_JST:JST_GH_BM10B-GHS-TBT_1x10-1MP_P1.25mm_Vertical</t>
  </si>
  <si>
    <t>J10, J11</t>
  </si>
  <si>
    <t>Servo 1 GH1.25 3P side-entry</t>
  </si>
  <si>
    <t>Connector_JST:JST_GH_SM03B-GHS-TB_1x03-1MP_P1.25mm_Horizontal</t>
  </si>
  <si>
    <t>L1</t>
  </si>
  <si>
    <t>1uH 4.5A</t>
  </si>
  <si>
    <t>Inductor_SMD:L_1008_2520Metric</t>
  </si>
  <si>
    <t>L2</t>
  </si>
  <si>
    <t>2.2u</t>
  </si>
  <si>
    <t>jlc:IND-SMD_L4.4-W4.2</t>
  </si>
  <si>
    <t>Q1, Q2, Q3</t>
  </si>
  <si>
    <t>Package_TO_SOT_SMD:SOT-23</t>
  </si>
  <si>
    <t>R1, R2</t>
  </si>
  <si>
    <t>5k1 Rd</t>
  </si>
  <si>
    <t>Resistor_SMD:R_0402_1005Metric</t>
  </si>
  <si>
    <t>R3, R18</t>
  </si>
  <si>
    <t>10k</t>
  </si>
  <si>
    <t>R4, R9, R10</t>
  </si>
  <si>
    <t>100k</t>
  </si>
  <si>
    <t>R5</t>
  </si>
  <si>
    <t>1k24</t>
  </si>
  <si>
    <t>R6</t>
  </si>
  <si>
    <t>2k</t>
  </si>
  <si>
    <t>R7</t>
  </si>
  <si>
    <t>47k</t>
  </si>
  <si>
    <t>R8, R16</t>
  </si>
  <si>
    <t>1M</t>
  </si>
  <si>
    <t>R17</t>
  </si>
  <si>
    <t>180k</t>
  </si>
  <si>
    <t>R19, R20, R21, R22</t>
  </si>
  <si>
    <t>0R5</t>
  </si>
  <si>
    <t>Resistor_SMD:R_0603_1608Metric</t>
  </si>
  <si>
    <t>RT1</t>
  </si>
  <si>
    <t>10k B3950</t>
  </si>
  <si>
    <t>U1</t>
  </si>
  <si>
    <t>jlc:QFN-16_L3.0-W3.0-P0.50-TL-EP1.7-2</t>
  </si>
  <si>
    <t>U3</t>
  </si>
  <si>
    <t>TPS63020DSJ</t>
  </si>
  <si>
    <t>jlc:VSON-14_L4.0-W3.0-P0.50-BL-EP_TI_DSJ</t>
  </si>
  <si>
    <t>U5</t>
  </si>
  <si>
    <t>Package_TO_SOT_SMD:SOT-23-6</t>
  </si>
  <si>
    <t>U6, U7, U8, U9</t>
  </si>
  <si>
    <t>Package_SO:MSOP-10-1EP_3x3mm_P0.5mm_EP1.68x1.88mm</t>
  </si>
  <si>
    <t>J8</t>
  </si>
  <si>
    <t>Stack A 2x5 socket</t>
  </si>
  <si>
    <t>Connector_PinSocket_2.00mm:PinSocket_2x05_P2.00mm_Vertical</t>
  </si>
  <si>
    <t>2x5 2.00 mm socket, hand-soldered (AliExpress/Farnell)</t>
  </si>
  <si>
    <t>n/a</t>
  </si>
  <si>
    <t>J9</t>
  </si>
  <si>
    <t>Stack B 2x5 socket</t>
  </si>
  <si>
    <t>Totals per board</t>
  </si>
  <si>
    <t>Extended-part lines (one-off fee each per order)</t>
  </si>
  <si>
    <t>Lines with no JLC code (hand-soldered)</t>
  </si>
  <si>
    <t>Lines below thin-stock threshold</t>
  </si>
  <si>
    <t>Lines short for the planned run</t>
  </si>
  <si>
    <t>BugBot Vision Board BOM (per board). Refs and quantities from Vision_sch_netlist.xml; prices and stock via the Parts sheet.</t>
  </si>
  <si>
    <t>C1</t>
  </si>
  <si>
    <t>C2, C20, C43, C54</t>
  </si>
  <si>
    <t>C6, C21, C42, C44, C55</t>
  </si>
  <si>
    <t>C14</t>
  </si>
  <si>
    <t>J3</t>
  </si>
  <si>
    <t>Camera FPC 22P 0.5mm top-contact OV5647 spy (pin k = Pi Zero pin 23-k)</t>
  </si>
  <si>
    <t>jlc:FPC-SMD_22P-P0.50_HDGC_0.5K-AS-22PWB</t>
  </si>
  <si>
    <t>ToF GH1.25 6P side-entry (underside)</t>
  </si>
  <si>
    <t>Connector_JST:JST_GH_SM06B-GHS-TB_1x06-1MP_P1.25mm_Horizontal</t>
  </si>
  <si>
    <t>J10</t>
  </si>
  <si>
    <t>LED GH1.25 3P (WS2812 in the ball)</t>
  </si>
  <si>
    <t>jlc:CONN-SMD_3P-P1.25_XUNPU_WAFER-GH1.25-3PLB</t>
  </si>
  <si>
    <t>R7, R8, R9, R14</t>
  </si>
  <si>
    <t>R11, R12</t>
  </si>
  <si>
    <t>2.2k</t>
  </si>
  <si>
    <t>R13</t>
  </si>
  <si>
    <t>100R</t>
  </si>
  <si>
    <t>SW1, SW2</t>
  </si>
  <si>
    <t>jlc:KEY-SMD_4P-L4.5-W4.5-P3.00-LS6.9</t>
  </si>
  <si>
    <t>SW3</t>
  </si>
  <si>
    <t>jlc:SW-TH_MSK12C02</t>
  </si>
  <si>
    <t>Stack A 2x5 (mates Motion J8)</t>
  </si>
  <si>
    <t>Connector_PinHeader_2.00mm:PinHeader_2x05_P2.00mm_Vertical</t>
  </si>
  <si>
    <t>2x5 2.00 mm pin header, hand-soldered</t>
  </si>
  <si>
    <t>Stack B 2x5 (mates Motion J9)</t>
  </si>
  <si>
    <t>ESP32-P4-Module</t>
  </si>
  <si>
    <t>jlc:ESP32-P4-Module</t>
  </si>
  <si>
    <t>ESP32-P4 + C6 core module (Waveshare), hand-soldered</t>
  </si>
  <si>
    <t>https://www.waveshare.com/wiki/ESP32-P4-Module</t>
  </si>
  <si>
    <t>BugBot Odometry Board BOM (per board). Refs and quantities from Odometry_sch_netlist.xml; prices and stock via the Parts sheet.</t>
  </si>
  <si>
    <t>C1, C2, C3, C4, C9</t>
  </si>
  <si>
    <t>C5</t>
  </si>
  <si>
    <t>4.7u</t>
  </si>
  <si>
    <t>Capacitor_SMD:C_0603_1608Metric</t>
  </si>
  <si>
    <t>C6, C7, C8</t>
  </si>
  <si>
    <t>C10, C11</t>
  </si>
  <si>
    <t>22p</t>
  </si>
  <si>
    <t>Odometry GH10 to Motion J7</t>
  </si>
  <si>
    <t>R1</t>
  </si>
  <si>
    <t>R2</t>
  </si>
  <si>
    <t>33k</t>
  </si>
  <si>
    <t>R3</t>
  </si>
  <si>
    <t>33R</t>
  </si>
  <si>
    <t>R4, R5, R6, R7</t>
  </si>
  <si>
    <t>AP2127K-ADJ</t>
  </si>
  <si>
    <t>jlc:SOT-23-5_L3.0-W1.7-P0.95-LS2.8-BR</t>
  </si>
  <si>
    <t>jlc:LGA-28_L5.2-W3.8-P0.50-BL</t>
  </si>
  <si>
    <t>Y1</t>
  </si>
  <si>
    <t>32.768k</t>
  </si>
  <si>
    <t>jlc:FC-135R_L3.2-W1.5</t>
  </si>
  <si>
    <t>U2</t>
  </si>
  <si>
    <t>PMW3360DM-T2QU</t>
  </si>
  <si>
    <t>jlc:PMW3360DM-T2QU_16Pin</t>
  </si>
  <si>
    <t>PMW3360DM-T2QU + LM19-LSI lens (Tindie/AliExpress), hand-soldered</t>
  </si>
  <si>
    <t>https://www.trackballs.eu/media/Ploopy/Adept/PMW3360DM-T2QU.pdf</t>
  </si>
  <si>
    <t>Item</t>
  </si>
  <si>
    <t>Flag</t>
  </si>
  <si>
    <t>Why it matters</t>
  </si>
  <si>
    <t>Decision needed</t>
  </si>
  <si>
    <t>Decision</t>
  </si>
  <si>
    <t>Motion</t>
  </si>
  <si>
    <t>J2 JST-PH 2P (C295747)</t>
  </si>
  <si>
    <t>Rated 2 A per contact; simulated all-motor stall draws 2.45 A from the cell</t>
  </si>
  <si>
    <t>Contact heating under sustained stall; normal driving is well under 2 A</t>
  </si>
  <si>
    <t>Accept (stall is brief, driver limits at 1 A each) or move to a 3 A connector</t>
  </si>
  <si>
    <t>Accepted as is (Jerome, 2026-09-06)</t>
  </si>
  <si>
    <t>R19-R22 0R5 0603 (C2934253)</t>
  </si>
  <si>
    <t>80 mW of the 100 mW rating during a single-motor stall</t>
  </si>
  <si>
    <t>Little derating margin at 60 C+ ambient</t>
  </si>
  <si>
    <t>Accept or go to 0805 / 0.25 W</t>
  </si>
  <si>
    <t>U6-U9 DRV8830 UVLO</t>
  </si>
  <si>
    <t>VMOT falls below the 2.75 V UVLO on a cell under ~3.3 V</t>
  </si>
  <si>
    <t>Motors stop before the P4 does on a flat cell</t>
  </si>
  <si>
    <t>Firmware cut-off near 3.3 V or accept</t>
  </si>
  <si>
    <t>U1 ETA6003 USB draw</t>
  </si>
  <si>
    <t>1.4-1.6 A from USB while charging at 806 mA and driving</t>
  </si>
  <si>
    <t>A 0.5 A port folds back via Vhold; needs a 1.5 A source</t>
  </si>
  <si>
    <t>Accept, or lower ISET / USB_DET on weak ports</t>
  </si>
  <si>
    <t>Vision</t>
  </si>
  <si>
    <t>U3 C6_IO8 (pad 10)</t>
  </si>
  <si>
    <t>Waveshare recommends a 10k pull-up</t>
  </si>
  <si>
    <t>C6 boot strap; module may boot into download mode without it in rare cases</t>
  </si>
  <si>
    <t>Add R (Basic 10k C25744)</t>
  </si>
  <si>
    <t>DONE 2026-09-07: R14 10k added (C25744), routed, DRC/parity clean</t>
  </si>
  <si>
    <t>Odometry/Motion</t>
  </si>
  <si>
    <t>Extended-part fee swaps</t>
  </si>
  <si>
    <t>39R-&gt;33R (C25105), 150k/110k-&gt;47k/33k (1.939 V), 22pF 0402-&gt;0603 C0G (C1653)</t>
  </si>
  <si>
    <t>Four fee lines gone; Motion R17 180k stays Extended (no Basic 180k)</t>
  </si>
  <si>
    <t>DONE 2026-09-07</t>
  </si>
  <si>
    <t>J3 0.5K-AS-22PWB (C2911765)</t>
  </si>
  <si>
    <t>Top-contact 22P connector at the bottom edge; pinout MIRRORED (pin k = Pi Zero pin 23-k) so the OV5647 spy flex lands contacts-up</t>
  </si>
  <si>
    <t>A wrong mirror puts 3V3 on GND and the CSI pairs backwards</t>
  </si>
  <si>
    <t>Continuity-check pin 1 = 3V3, pin 22 = GND, pin 6 = CAM_EN with the module in hand before powering</t>
  </si>
  <si>
    <t>Open: check at bring-up (473 in stock; FPC07-S22-ECA C53207220 is the alternative)</t>
  </si>
  <si>
    <t>J7 GH1.25 6P ToF (C3029381)</t>
  </si>
  <si>
    <t>Side-entry on the underside, anchor pads 0.55 mm from the edge (JLC limit 0.2 mm); board pin order 3V3, GND, SDA, SCL, LPN, INT</t>
  </si>
  <si>
    <t>Bought VL53L5CX modules vary in pin order</t>
  </si>
  <si>
    <t>Match the cable to the module bought</t>
  </si>
  <si>
    <t>Open: cable order only</t>
  </si>
  <si>
    <t>CSI D0 pair</t>
  </si>
  <si>
    <t>Rerouted 2026-09-07: 24.4/24.4 mm, one via each, 0.15 mm tracks, 0.25 mm gap; field solver 93 ohm differential, return loss 24 dB at 1 GHz</t>
  </si>
  <si>
    <t>Inside the 80-125 ohm MIPI window</t>
  </si>
  <si>
    <t>CSI D1 pair</t>
  </si>
  <si>
    <t>Rerouted 2026-09-07: 25.1/25.3 mm, one via each, 0.15 mm tracks; field solver 89 ohm differential, return loss 21 dB at 1 GHz</t>
  </si>
  <si>
    <t>GND stitching after the reroute</t>
  </si>
  <si>
    <t>The D0/D1 reroute cut two GND fill islands (J3.16 camera GND on F.Cu, J7.2 ToF GND on B.Cu); two GND vias added</t>
  </si>
  <si>
    <t>Both connector GND pins were floating until the vias went in</t>
  </si>
  <si>
    <t>DONE 2026-09-07 (DRC 0 errors, 0 unconnected on a refilled copy)</t>
  </si>
  <si>
    <t>All</t>
  </si>
  <si>
    <t>Vias 0.45 mm on 0.2 mm drill</t>
  </si>
  <si>
    <t>0.125 mm annular ring; JLC states 0.15 mm absolute minimum for multilayer</t>
  </si>
  <si>
    <t>JLC runs this size routinely (KiCad default) but may query it</t>
  </si>
  <si>
    <t>Accept, or set the Default via to 0.5 mm</t>
  </si>
  <si>
    <t>Open</t>
  </si>
  <si>
    <t>SW3 MSK12C02 (C431540)</t>
  </si>
  <si>
    <t>Switch is on the Vision board: a Motion board alone stays OFF; lever sits above the Motion USB-C</t>
  </si>
  <si>
    <t>Motion cannot be tested without Vision (or a jumper J8.9 to GND)</t>
  </si>
  <si>
    <t>Accept</t>
  </si>
  <si>
    <t>Accepted (Jerome, 2026-09-07)</t>
  </si>
  <si>
    <t>Stack</t>
  </si>
  <si>
    <t>J8/J9 2x5 sockets</t>
  </si>
  <si>
    <t>Vision C20 (underside) sits over Motion J11 (4.25 mm tall) and the module over L2: with 4.3 mm sockets the clearance is 0.3 / 0.4 mm</t>
  </si>
  <si>
    <t>Too-short sockets collide</t>
  </si>
  <si>
    <t>5.6 mm-high 2x5 2.00 mm sockets are REQUIRED (7.1 mm board gap)</t>
  </si>
  <si>
    <t>Decided 2026-09-08: 5.6 mm sockets</t>
  </si>
  <si>
    <t>Motion/Odometry</t>
  </si>
  <si>
    <t>GH10 cable J7 &lt;-&gt; J1</t>
  </si>
  <si>
    <t>J1 is J7's mirror image (rotated 180, pins reversed), signals sit vertically above themselves</t>
  </si>
  <si>
    <t>A same-side (1-to-1) cable would short 3V3 to GND</t>
  </si>
  <si>
    <t>Buy the REVERSE / opposite-side GH1.25 10-pin cable (cavity 1 to cavity 10); test J7 pad 1 to J1 pad 10 = short before power</t>
  </si>
  <si>
    <t>Open: cable order</t>
  </si>
  <si>
    <t>SW1/SW2 tact switches (C7470171)</t>
  </si>
  <si>
    <t>Were wired across pads 1-2, which are ONE internal bar on this 4-leg switch (drawing: 1-2 common, 3-4 common)</t>
  </si>
  <si>
    <t>P4 held in reset and forced into download mode: the board would not boot</t>
  </si>
  <si>
    <t>Footprint pads renumbered 1,1,2,2; GND on the other bar</t>
  </si>
  <si>
    <t>FIXED 2026-09-08 (adversarial review)</t>
  </si>
  <si>
    <t>J3 camera enable</t>
  </si>
  <si>
    <t>Pi Zero pin 17 = CAM_GPIO0 (our CAM_EN), pin 18 = CAM_GPIO1 (was NC)</t>
  </si>
  <si>
    <t>If a module uses the other line for its LDO enable the camera never powers</t>
  </si>
  <si>
    <t>Pad 5 (Pi 18) also tied to CAM_EN</t>
  </si>
  <si>
    <t>DONE 2026-09-08</t>
  </si>
  <si>
    <t>R8 100k gate pull-up</t>
  </si>
  <si>
    <t>Vgs of Q2/Q3 only -1.5 to -1.7 V on a 3.0-3.3 V cell (SI2333 characterised at -1.8 V)</t>
  </si>
  <si>
    <t>FETs run resistive on a flat cell</t>
  </si>
  <si>
    <t>R8 -&gt; 1M (C26083, in BOM): Vgs -2.6 V at 3.0 V, harness passes, inrush 1.61 A</t>
  </si>
  <si>
    <t>DONE 2026-09-08: R8 = 1M (C26083)</t>
  </si>
  <si>
    <t>RT1 NTC on the board</t>
  </si>
  <si>
    <t>RT1 sits 3 mm from the charger, 73 C when driving; the charger stops charging above ~40 C at that pin</t>
  </si>
  <si>
    <t>No charging while or shortly after driving</t>
  </si>
  <si>
    <t>Accept, or fit a fixed 10k instead of the NTC (no cell thermistor anyway)</t>
  </si>
  <si>
    <t>Kept as is: charge when parked and cool</t>
  </si>
  <si>
    <t>Firmware</t>
  </si>
  <si>
    <t>Low-battery cut-off</t>
  </si>
  <si>
    <t>DRV8830 drivers drop out below 2.75 V on VMOT (a 3.0 V cell under load) while the P4 runs down to 2.8 V</t>
  </si>
  <si>
    <t>Motors stutter and stop while the robot keeps thinking</t>
  </si>
  <si>
    <t>Firmware stops driving at 3.2 V on VBAT_SENSE (GPIO20 = VSYS_SW/2), warns at 3.4 V</t>
  </si>
  <si>
    <t>FIRMWARE RULE (see FIRMWARE_NOTES.md)</t>
  </si>
  <si>
    <t>USB charging while driving</t>
  </si>
  <si>
    <t>Charge 0.8 A + running 0.5-1 A = 1.4-1.8 A from USB; a 0.5 A port folds the charge back via Vhold</t>
  </si>
  <si>
    <t>Slow/no charging on weak supplies, no damage</t>
  </si>
  <si>
    <t>Use a 1.5-2 A USB supply; firmware reports a weak source when VBUS sags below 4.5 V while charging</t>
  </si>
  <si>
    <t>FIRMWARE NOTE (see FIRMWARE_NOTES.md)</t>
  </si>
  <si>
    <t>Regen on USB without a battery</t>
  </si>
  <si>
    <t>Fast reversals return motor energy to VMOT; with no cell the caps take it and can exceed the 7 V driver limit</t>
  </si>
  <si>
    <t>Only when driving on USB with the cell removed</t>
  </si>
  <si>
    <t>Firmware: no hard reversal without a battery, or a 5.6 V clamp on VMOT</t>
  </si>
  <si>
    <t>Decided 2026-09-08: FIRMWARE RULE (coast before reversing when VBAT_SENSE shows no cell)</t>
  </si>
  <si>
    <t>J10 WS2812 on 3V3</t>
  </si>
  <si>
    <t>3.28 V supply vs the WS2812B's 3.5 V minimum</t>
  </si>
  <si>
    <t>Most parts work at 3.3 V; some don't</t>
  </si>
  <si>
    <t>Keep, or feed J10 pin 1 from VMOT (available at J8.10) with 0.13 V data margin at 4.5 V</t>
  </si>
  <si>
    <t>Kept on 3V3</t>
  </si>
  <si>
    <t>Motion/Vision</t>
  </si>
  <si>
    <t>Pour pad connections</t>
  </si>
  <si>
    <t>Pours had solid pad connections on ~60 small passives (tombstoning risk in reflow)</t>
  </si>
  <si>
    <t>Uneven heat during reflow</t>
  </si>
  <si>
    <t>Thermal reliefs 0.25 gap / 0.35 spoke, solid only where spokes cannot form</t>
  </si>
  <si>
    <t>DONE 2026-09-08 on both boards (solid exceptions kept where spokes cannot form)</t>
  </si>
  <si>
    <t>U6-U9 DRV8830 (C127591)</t>
  </si>
  <si>
    <t>129 in stock on 2026-09-06</t>
  </si>
  <si>
    <t>Four per board: enough for 32 boards only</t>
  </si>
  <si>
    <t>Order soon, or approve the 2x DRV8833 + PCA9685 alternative</t>
  </si>
  <si>
    <t>GH1.25 10P (C3029376)</t>
  </si>
  <si>
    <t>1,796 in stock</t>
  </si>
  <si>
    <t>Two per set (Motion J7 + Odometry J1)</t>
  </si>
  <si>
    <t>Fine for prototypes; re-check before a production run</t>
  </si>
  <si>
    <t>ToF VL53L5CX</t>
  </si>
  <si>
    <t>JLC has the bare chip pre-order only</t>
  </si>
  <si>
    <t>Cannot be assembled by JLC</t>
  </si>
  <si>
    <t>Keep the bought module on J7</t>
  </si>
  <si>
    <t>Module stays (Jerome, 2026-09-06)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</si>
</sst>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00"/>
    <numFmt numFmtId="165" formatCode="\$0.00"/>
    <numFmt numFmtId="166" formatCode="\£0.00"/>
  </numFmts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9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FFFFFF"/>
      <name val="Arial"/>
    </font>
    <font>
      <sz val="10"/>
      <color rgb="FF0563C1"/>
      <name val="Arial"/>
    </font>
    <font>
      <sz val="10"/>
      <color rgb="FF008000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1"/>
      <color rgb="FF000000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/>
    <xf numFmtId="165" fontId="7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8" fillId="0" borderId="0" xfId="0" applyFont="1"/>
    <xf numFmtId="0" fontId="8" fillId="0" borderId="1" xfId="0" applyFont="1" applyBorder="1"/>
    <xf numFmtId="165" fontId="8" fillId="0" borderId="1" xfId="0" applyNumberFormat="1" applyFont="1" applyBorder="1"/>
    <xf numFmtId="166" fontId="8" fillId="0" borderId="1" xfId="0" applyNumberFormat="1" applyFont="1" applyBorder="1"/>
    <xf numFmtId="166" fontId="8" fillId="0" borderId="0" xfId="0" applyNumberFormat="1" applyFont="1"/>
    <xf numFmtId="165" fontId="8" fillId="0" borderId="0" xfId="0" applyNumberFormat="1" applyFont="1"/>
    <xf numFmtId="0" fontId="10" fillId="0" borderId="0" xfId="0" applyFont="1"/>
    <xf numFmtId="0" fontId="7" fillId="2" borderId="1" xfId="0" applyFont="1" applyFill="1" applyBorder="1"/>
    <xf numFmtId="165" fontId="4" fillId="2" borderId="1" xfId="0" applyNumberFormat="1" applyFont="1" applyFill="1" applyBorder="1"/>
    <xf numFmtId="164" fontId="4" fillId="2" borderId="1" xfId="0" applyNumberFormat="1" applyFont="1" applyFill="1" applyBorder="1"/>
    <xf numFmtId="165" fontId="8" fillId="2" borderId="1" xfId="0" applyNumberFormat="1" applyFont="1" applyFill="1" applyBorder="1"/>
    <xf numFmtId="165" fontId="11" fillId="0" borderId="1" xfId="0" applyNumberFormat="1" applyFont="1" applyBorder="1"/>
    <xf numFmtId="0" fontId="9" fillId="0" borderId="1" xfId="0" applyFont="1" applyBorder="1"/>
    <xf numFmtId="0" fontId="9" fillId="0" borderId="0" xfId="0" applyFont="1"/>
    <xf numFmtId="165" fontId="3" fillId="0" borderId="0" xfId="0" applyNumberFormat="1" applyFont="1"/>
    <xf numFmtId="165" fontId="11" fillId="0" borderId="0" xfId="0" applyNumberFormat="1" applyFont="1"/>
    <xf numFmtId="165" fontId="10" fillId="0" borderId="0" xfId="0" applyNumberFormat="1" applyFont="1"/>
    <xf numFmtId="166" fontId="10" fillId="0" borderId="0" xfId="0" applyNumberFormat="1" applyFont="1"/>
    <xf numFmtId="3" fontId="4" fillId="0" borderId="1" xfId="0" applyNumberFormat="1" applyFont="1" applyBorder="1"/>
    <xf numFmtId="164" fontId="4" fillId="0" borderId="1" xfId="0" applyNumberFormat="1" applyFont="1" applyBorder="1"/>
    <xf numFmtId="0" fontId="6" fillId="0" borderId="1" xfId="0" applyFont="1" applyBorder="1"/>
    <xf numFmtId="0" fontId="11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/>
    <xf numFmtId="0" fontId="11" fillId="0" borderId="0" xfId="0" applyFont="1"/>
    <xf numFmtId="0" fontId="3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jlcpcb.com/partdetail/C25779" TargetMode="External"/><Relationship Id="rId18" Type="http://schemas.openxmlformats.org/officeDocument/2006/relationships/hyperlink" Target="https://jlcpcb.com/partdetail/C2687116" TargetMode="External"/><Relationship Id="rId26" Type="http://schemas.openxmlformats.org/officeDocument/2006/relationships/hyperlink" Target="https://jlcpcb.com/partdetail/C3029376" TargetMode="External"/><Relationship Id="rId39" Type="http://schemas.openxmlformats.org/officeDocument/2006/relationships/hyperlink" Target="https://jlcpcb.com/partdetail/C7470171" TargetMode="External"/><Relationship Id="rId21" Type="http://schemas.openxmlformats.org/officeDocument/2006/relationships/hyperlink" Target="https://jlcpcb.com/partdetail/C2911765" TargetMode="External"/><Relationship Id="rId34" Type="http://schemas.openxmlformats.org/officeDocument/2006/relationships/hyperlink" Target="https://jlcpcb.com/partdetail/C45783" TargetMode="External"/><Relationship Id="rId42" Type="http://schemas.openxmlformats.org/officeDocument/2006/relationships/hyperlink" Target="https://www.diodes.com/assets/Datasheets/AP2127.pdf" TargetMode="External"/><Relationship Id="rId7" Type="http://schemas.openxmlformats.org/officeDocument/2006/relationships/hyperlink" Target="https://jlcpcb.com/partdetail/C20627123" TargetMode="External"/><Relationship Id="rId2" Type="http://schemas.openxmlformats.org/officeDocument/2006/relationships/hyperlink" Target="https://jlcpcb.com/partdetail/C1525" TargetMode="External"/><Relationship Id="rId16" Type="http://schemas.openxmlformats.org/officeDocument/2006/relationships/hyperlink" Target="https://jlcpcb.com/partdetail/C25905" TargetMode="External"/><Relationship Id="rId20" Type="http://schemas.openxmlformats.org/officeDocument/2006/relationships/hyperlink" Target="https://jlcpcb.com/partdetail/C2765186" TargetMode="External"/><Relationship Id="rId29" Type="http://schemas.openxmlformats.org/officeDocument/2006/relationships/hyperlink" Target="https://jlcpcb.com/partdetail/C32346" TargetMode="External"/><Relationship Id="rId41" Type="http://schemas.openxmlformats.org/officeDocument/2006/relationships/hyperlink" Target="https://jlcpcb.com/partdetail/C95939" TargetMode="External"/><Relationship Id="rId1" Type="http://schemas.openxmlformats.org/officeDocument/2006/relationships/hyperlink" Target="https://www.ti.com/lit/ds/symlink/drv8830.pdf" TargetMode="External"/><Relationship Id="rId6" Type="http://schemas.openxmlformats.org/officeDocument/2006/relationships/hyperlink" Target="https://jlcpcb.com/partdetail/C19666" TargetMode="External"/><Relationship Id="rId11" Type="http://schemas.openxmlformats.org/officeDocument/2006/relationships/hyperlink" Target="https://jlcpcb.com/partdetail/C25744" TargetMode="External"/><Relationship Id="rId24" Type="http://schemas.openxmlformats.org/officeDocument/2006/relationships/hyperlink" Target="https://jlcpcb.com/partdetail/C3029368" TargetMode="External"/><Relationship Id="rId32" Type="http://schemas.openxmlformats.org/officeDocument/2006/relationships/hyperlink" Target="https://jlcpcb.com/partdetail/C4109" TargetMode="External"/><Relationship Id="rId37" Type="http://schemas.openxmlformats.org/officeDocument/2006/relationships/hyperlink" Target="https://jlcpcb.com/partdetail/C5832356" TargetMode="External"/><Relationship Id="rId40" Type="http://schemas.openxmlformats.org/officeDocument/2006/relationships/hyperlink" Target="https://www.bosch-sensortec.com/media/boschsensortec/downloads/datasheets/bst-bno055-ds000.pdf" TargetMode="External"/><Relationship Id="rId5" Type="http://schemas.openxmlformats.org/officeDocument/2006/relationships/hyperlink" Target="https://jlcpcb.com/partdetail/C1653" TargetMode="External"/><Relationship Id="rId15" Type="http://schemas.openxmlformats.org/officeDocument/2006/relationships/hyperlink" Target="https://jlcpcb.com/partdetail/C25879" TargetMode="External"/><Relationship Id="rId23" Type="http://schemas.openxmlformats.org/officeDocument/2006/relationships/hyperlink" Target="https://jlcpcb.com/partdetail/C295747" TargetMode="External"/><Relationship Id="rId28" Type="http://schemas.openxmlformats.org/officeDocument/2006/relationships/hyperlink" Target="https://jlcpcb.com/partdetail/C3029381" TargetMode="External"/><Relationship Id="rId36" Type="http://schemas.openxmlformats.org/officeDocument/2006/relationships/hyperlink" Target="https://jlcpcb.com/partdetail/C5455585" TargetMode="External"/><Relationship Id="rId10" Type="http://schemas.openxmlformats.org/officeDocument/2006/relationships/hyperlink" Target="https://jlcpcb.com/partdetail/C25741" TargetMode="External"/><Relationship Id="rId19" Type="http://schemas.openxmlformats.org/officeDocument/2006/relationships/hyperlink" Target="https://jlcpcb.com/partdetail/C274889" TargetMode="External"/><Relationship Id="rId31" Type="http://schemas.openxmlformats.org/officeDocument/2006/relationships/hyperlink" Target="https://jlcpcb.com/partdetail/C408335" TargetMode="External"/><Relationship Id="rId4" Type="http://schemas.openxmlformats.org/officeDocument/2006/relationships/hyperlink" Target="https://jlcpcb.com/partdetail/C15850" TargetMode="External"/><Relationship Id="rId9" Type="http://schemas.openxmlformats.org/officeDocument/2006/relationships/hyperlink" Target="https://jlcpcb.com/partdetail/C25105" TargetMode="External"/><Relationship Id="rId14" Type="http://schemas.openxmlformats.org/officeDocument/2006/relationships/hyperlink" Target="https://jlcpcb.com/partdetail/C25792" TargetMode="External"/><Relationship Id="rId22" Type="http://schemas.openxmlformats.org/officeDocument/2006/relationships/hyperlink" Target="https://jlcpcb.com/partdetail/C2934253" TargetMode="External"/><Relationship Id="rId27" Type="http://schemas.openxmlformats.org/officeDocument/2006/relationships/hyperlink" Target="https://jlcpcb.com/partdetail/C3029378" TargetMode="External"/><Relationship Id="rId30" Type="http://schemas.openxmlformats.org/officeDocument/2006/relationships/hyperlink" Target="https://www.vishay.com/docs/68868/si2333dds.pdf" TargetMode="External"/><Relationship Id="rId35" Type="http://schemas.openxmlformats.org/officeDocument/2006/relationships/hyperlink" Target="https://jlcpcb.com/partdetail/C52923" TargetMode="External"/><Relationship Id="rId8" Type="http://schemas.openxmlformats.org/officeDocument/2006/relationships/hyperlink" Target="https://jlcpcb.com/partdetail/C25076" TargetMode="External"/><Relationship Id="rId3" Type="http://schemas.openxmlformats.org/officeDocument/2006/relationships/hyperlink" Target="https://www.ti.com/lit/ds/symlink/tps63020.pdf" TargetMode="External"/><Relationship Id="rId12" Type="http://schemas.openxmlformats.org/officeDocument/2006/relationships/hyperlink" Target="https://jlcpcb.com/partdetail/C25760" TargetMode="External"/><Relationship Id="rId17" Type="http://schemas.openxmlformats.org/officeDocument/2006/relationships/hyperlink" Target="https://jlcpcb.com/partdetail/C26083" TargetMode="External"/><Relationship Id="rId25" Type="http://schemas.openxmlformats.org/officeDocument/2006/relationships/hyperlink" Target="https://jlcpcb.com/partdetail/C3029369" TargetMode="External"/><Relationship Id="rId33" Type="http://schemas.openxmlformats.org/officeDocument/2006/relationships/hyperlink" Target="https://jlcpcb.com/partdetail/C431540" TargetMode="External"/><Relationship Id="rId38" Type="http://schemas.openxmlformats.org/officeDocument/2006/relationships/hyperlink" Target="https://jlcpcb.com/partdetail/C719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C295747" TargetMode="External"/><Relationship Id="rId13" Type="http://schemas.openxmlformats.org/officeDocument/2006/relationships/hyperlink" Target="https://jlcpcb.com/partdetail/C408335" TargetMode="External"/><Relationship Id="rId18" Type="http://schemas.openxmlformats.org/officeDocument/2006/relationships/hyperlink" Target="https://jlcpcb.com/partdetail/C274889" TargetMode="External"/><Relationship Id="rId26" Type="http://schemas.openxmlformats.org/officeDocument/2006/relationships/hyperlink" Target="https://www.ti.com/lit/ds/symlink/tps63020.pdf" TargetMode="External"/><Relationship Id="rId3" Type="http://schemas.openxmlformats.org/officeDocument/2006/relationships/hyperlink" Target="https://jlcpcb.com/partdetail/C45783" TargetMode="External"/><Relationship Id="rId21" Type="http://schemas.openxmlformats.org/officeDocument/2006/relationships/hyperlink" Target="https://jlcpcb.com/partdetail/C26083" TargetMode="External"/><Relationship Id="rId7" Type="http://schemas.openxmlformats.org/officeDocument/2006/relationships/hyperlink" Target="https://jlcpcb.com/partdetail/C2765186" TargetMode="External"/><Relationship Id="rId12" Type="http://schemas.openxmlformats.org/officeDocument/2006/relationships/hyperlink" Target="https://jlcpcb.com/partdetail/C5832356" TargetMode="External"/><Relationship Id="rId17" Type="http://schemas.openxmlformats.org/officeDocument/2006/relationships/hyperlink" Target="https://jlcpcb.com/partdetail/C25741" TargetMode="External"/><Relationship Id="rId25" Type="http://schemas.openxmlformats.org/officeDocument/2006/relationships/hyperlink" Target="https://jlcpcb.com/partdetail/C5455585" TargetMode="External"/><Relationship Id="rId2" Type="http://schemas.openxmlformats.org/officeDocument/2006/relationships/hyperlink" Target="https://jlcpcb.com/partdetail/C52923" TargetMode="External"/><Relationship Id="rId16" Type="http://schemas.openxmlformats.org/officeDocument/2006/relationships/hyperlink" Target="https://jlcpcb.com/partdetail/C25744" TargetMode="External"/><Relationship Id="rId20" Type="http://schemas.openxmlformats.org/officeDocument/2006/relationships/hyperlink" Target="https://jlcpcb.com/partdetail/C25792" TargetMode="External"/><Relationship Id="rId29" Type="http://schemas.openxmlformats.org/officeDocument/2006/relationships/vmlDrawing" Target="../drawings/vmlDrawing2.vml"/><Relationship Id="rId1" Type="http://schemas.openxmlformats.org/officeDocument/2006/relationships/hyperlink" Target="https://jlcpcb.com/partdetail/C15850" TargetMode="External"/><Relationship Id="rId6" Type="http://schemas.openxmlformats.org/officeDocument/2006/relationships/hyperlink" Target="https://jlcpcb.com/partdetail/C20627123" TargetMode="External"/><Relationship Id="rId11" Type="http://schemas.openxmlformats.org/officeDocument/2006/relationships/hyperlink" Target="https://jlcpcb.com/partdetail/C3029378" TargetMode="External"/><Relationship Id="rId24" Type="http://schemas.openxmlformats.org/officeDocument/2006/relationships/hyperlink" Target="https://jlcpcb.com/partdetail/C95939" TargetMode="External"/><Relationship Id="rId5" Type="http://schemas.openxmlformats.org/officeDocument/2006/relationships/hyperlink" Target="https://jlcpcb.com/partdetail/C7196" TargetMode="External"/><Relationship Id="rId15" Type="http://schemas.openxmlformats.org/officeDocument/2006/relationships/hyperlink" Target="https://jlcpcb.com/partdetail/C25905" TargetMode="External"/><Relationship Id="rId23" Type="http://schemas.openxmlformats.org/officeDocument/2006/relationships/hyperlink" Target="https://jlcpcb.com/partdetail/C2934253" TargetMode="External"/><Relationship Id="rId28" Type="http://schemas.openxmlformats.org/officeDocument/2006/relationships/hyperlink" Target="https://www.ti.com/lit/ds/symlink/drv8830.pdf" TargetMode="External"/><Relationship Id="rId10" Type="http://schemas.openxmlformats.org/officeDocument/2006/relationships/hyperlink" Target="https://jlcpcb.com/partdetail/C3029376" TargetMode="External"/><Relationship Id="rId19" Type="http://schemas.openxmlformats.org/officeDocument/2006/relationships/hyperlink" Target="https://jlcpcb.com/partdetail/C4109" TargetMode="External"/><Relationship Id="rId4" Type="http://schemas.openxmlformats.org/officeDocument/2006/relationships/hyperlink" Target="https://jlcpcb.com/partdetail/C1525" TargetMode="External"/><Relationship Id="rId9" Type="http://schemas.openxmlformats.org/officeDocument/2006/relationships/hyperlink" Target="https://jlcpcb.com/partdetail/C3029368" TargetMode="External"/><Relationship Id="rId14" Type="http://schemas.openxmlformats.org/officeDocument/2006/relationships/hyperlink" Target="https://www.vishay.com/docs/68868/si2333dds.pdf" TargetMode="External"/><Relationship Id="rId22" Type="http://schemas.openxmlformats.org/officeDocument/2006/relationships/hyperlink" Target="https://jlcpcb.com/partdetail/C25760" TargetMode="External"/><Relationship Id="rId27" Type="http://schemas.openxmlformats.org/officeDocument/2006/relationships/hyperlink" Target="https://jlcpcb.com/partdetail/C2687116" TargetMode="External"/><Relationship Id="rId30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C25744" TargetMode="External"/><Relationship Id="rId13" Type="http://schemas.openxmlformats.org/officeDocument/2006/relationships/hyperlink" Target="https://www.waveshare.com/wiki/ESP32-P4-Module" TargetMode="External"/><Relationship Id="rId3" Type="http://schemas.openxmlformats.org/officeDocument/2006/relationships/hyperlink" Target="https://jlcpcb.com/partdetail/C1525" TargetMode="External"/><Relationship Id="rId7" Type="http://schemas.openxmlformats.org/officeDocument/2006/relationships/hyperlink" Target="https://jlcpcb.com/partdetail/C3029369" TargetMode="External"/><Relationship Id="rId12" Type="http://schemas.openxmlformats.org/officeDocument/2006/relationships/hyperlink" Target="https://jlcpcb.com/partdetail/C431540" TargetMode="External"/><Relationship Id="rId2" Type="http://schemas.openxmlformats.org/officeDocument/2006/relationships/hyperlink" Target="https://jlcpcb.com/partdetail/C15850" TargetMode="External"/><Relationship Id="rId1" Type="http://schemas.openxmlformats.org/officeDocument/2006/relationships/hyperlink" Target="https://jlcpcb.com/partdetail/C45783" TargetMode="External"/><Relationship Id="rId6" Type="http://schemas.openxmlformats.org/officeDocument/2006/relationships/hyperlink" Target="https://jlcpcb.com/partdetail/C3029381" TargetMode="External"/><Relationship Id="rId11" Type="http://schemas.openxmlformats.org/officeDocument/2006/relationships/hyperlink" Target="https://jlcpcb.com/partdetail/C7470171" TargetMode="External"/><Relationship Id="rId5" Type="http://schemas.openxmlformats.org/officeDocument/2006/relationships/hyperlink" Target="https://jlcpcb.com/partdetail/C2911765" TargetMode="External"/><Relationship Id="rId15" Type="http://schemas.openxmlformats.org/officeDocument/2006/relationships/comments" Target="../comments3.xml"/><Relationship Id="rId10" Type="http://schemas.openxmlformats.org/officeDocument/2006/relationships/hyperlink" Target="https://jlcpcb.com/partdetail/C25076" TargetMode="External"/><Relationship Id="rId4" Type="http://schemas.openxmlformats.org/officeDocument/2006/relationships/hyperlink" Target="https://jlcpcb.com/partdetail/C52923" TargetMode="External"/><Relationship Id="rId9" Type="http://schemas.openxmlformats.org/officeDocument/2006/relationships/hyperlink" Target="https://jlcpcb.com/partdetail/C25879" TargetMode="External"/><Relationship Id="rId1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C25105" TargetMode="External"/><Relationship Id="rId13" Type="http://schemas.openxmlformats.org/officeDocument/2006/relationships/hyperlink" Target="https://www.trackballs.eu/media/Ploopy/Adept/PMW3360DM-T2QU.pdf" TargetMode="External"/><Relationship Id="rId3" Type="http://schemas.openxmlformats.org/officeDocument/2006/relationships/hyperlink" Target="https://jlcpcb.com/partdetail/C1525" TargetMode="External"/><Relationship Id="rId7" Type="http://schemas.openxmlformats.org/officeDocument/2006/relationships/hyperlink" Target="https://jlcpcb.com/partdetail/C25779" TargetMode="External"/><Relationship Id="rId12" Type="http://schemas.openxmlformats.org/officeDocument/2006/relationships/hyperlink" Target="https://jlcpcb.com/partdetail/C32346" TargetMode="External"/><Relationship Id="rId2" Type="http://schemas.openxmlformats.org/officeDocument/2006/relationships/hyperlink" Target="https://jlcpcb.com/partdetail/C19666" TargetMode="External"/><Relationship Id="rId1" Type="http://schemas.openxmlformats.org/officeDocument/2006/relationships/hyperlink" Target="https://jlcpcb.com/partdetail/C52923" TargetMode="External"/><Relationship Id="rId6" Type="http://schemas.openxmlformats.org/officeDocument/2006/relationships/hyperlink" Target="https://jlcpcb.com/partdetail/C25792" TargetMode="External"/><Relationship Id="rId11" Type="http://schemas.openxmlformats.org/officeDocument/2006/relationships/hyperlink" Target="https://www.bosch-sensortec.com/media/boschsensortec/downloads/datasheets/bst-bno055-ds000.pdf" TargetMode="External"/><Relationship Id="rId5" Type="http://schemas.openxmlformats.org/officeDocument/2006/relationships/hyperlink" Target="https://jlcpcb.com/partdetail/C3029376" TargetMode="External"/><Relationship Id="rId15" Type="http://schemas.openxmlformats.org/officeDocument/2006/relationships/comments" Target="../comments4.xml"/><Relationship Id="rId10" Type="http://schemas.openxmlformats.org/officeDocument/2006/relationships/hyperlink" Target="https://www.diodes.com/assets/Datasheets/AP2127.pdf" TargetMode="External"/><Relationship Id="rId4" Type="http://schemas.openxmlformats.org/officeDocument/2006/relationships/hyperlink" Target="https://jlcpcb.com/partdetail/C1653" TargetMode="External"/><Relationship Id="rId9" Type="http://schemas.openxmlformats.org/officeDocument/2006/relationships/hyperlink" Target="https://jlcpcb.com/partdetail/C25744" TargetMode="External"/><Relationship Id="rId1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5" x14ac:dyDescent="0.25"/>
  <cols>
    <col min="1" max="1" width="44" customWidth="1"/>
    <col min="2" max="2" width="8" customWidth="1"/>
    <col min="3" max="3" width="14" customWidth="1"/>
    <col min="4" max="4" width="18" customWidth="1"/>
    <col min="5" max="5" width="12" customWidth="1"/>
    <col min="6" max="7" width="18" customWidth="1"/>
    <col min="8" max="8" width="16" customWidth="1"/>
    <col min="9" max="9" width="14" customWidth="1"/>
    <col min="10" max="11" width="16" customWidth="1"/>
  </cols>
  <sheetData>
    <row r="1" spans="1:11" ht="18" x14ac:dyDescent="0.25">
      <c r="A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</row>
    <row r="5" spans="1:11" x14ac:dyDescent="0.25">
      <c r="A5" s="3" t="s">
        <v>3</v>
      </c>
      <c r="B5" s="4">
        <v>5</v>
      </c>
    </row>
    <row r="6" spans="1:11" x14ac:dyDescent="0.25">
      <c r="A6" s="3" t="s">
        <v>4</v>
      </c>
      <c r="B6" s="4">
        <v>1.27</v>
      </c>
    </row>
    <row r="7" spans="1:11" x14ac:dyDescent="0.25">
      <c r="A7" s="3" t="s">
        <v>5</v>
      </c>
      <c r="B7" s="4">
        <v>3</v>
      </c>
    </row>
    <row r="8" spans="1:11" x14ac:dyDescent="0.25">
      <c r="A8" s="3" t="s">
        <v>6</v>
      </c>
      <c r="B8" s="4">
        <v>5000</v>
      </c>
    </row>
    <row r="10" spans="1:11" ht="25.5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  <c r="J10" s="5" t="s">
        <v>16</v>
      </c>
      <c r="K10" s="5" t="s">
        <v>17</v>
      </c>
    </row>
    <row r="11" spans="1:11" x14ac:dyDescent="0.25">
      <c r="A11" s="6" t="s">
        <v>18</v>
      </c>
      <c r="B11" s="7">
        <v>30</v>
      </c>
      <c r="C11" s="8">
        <f>Motion!B34</f>
        <v>63</v>
      </c>
      <c r="D11" s="9">
        <f>Motion!J34</f>
        <v>16.632100000000001</v>
      </c>
      <c r="E11" s="8">
        <f>Motion!B35</f>
        <v>18</v>
      </c>
      <c r="F11" s="10">
        <f>E11*$B$7</f>
        <v>54</v>
      </c>
      <c r="G11" s="10">
        <f>D11*$B$5</f>
        <v>83.160500000000013</v>
      </c>
      <c r="H11" s="11">
        <f>G11/$B$6</f>
        <v>65.480708661417339</v>
      </c>
      <c r="I11" s="8">
        <f>Motion!B36</f>
        <v>2</v>
      </c>
      <c r="J11" s="8">
        <f>Motion!B37</f>
        <v>3</v>
      </c>
      <c r="K11" s="8">
        <f>Motion!B38</f>
        <v>0</v>
      </c>
    </row>
    <row r="12" spans="1:11" x14ac:dyDescent="0.25">
      <c r="A12" s="6" t="s">
        <v>19</v>
      </c>
      <c r="B12" s="7">
        <v>15</v>
      </c>
      <c r="C12" s="8">
        <f>Vision!B19</f>
        <v>27</v>
      </c>
      <c r="D12" s="9">
        <f>Vision!J19</f>
        <v>1.1989999999999998</v>
      </c>
      <c r="E12" s="8">
        <f>Vision!B20</f>
        <v>5</v>
      </c>
      <c r="F12" s="10">
        <f>E12*$B$7</f>
        <v>15</v>
      </c>
      <c r="G12" s="10">
        <f>D12*$B$5</f>
        <v>5.9949999999999992</v>
      </c>
      <c r="H12" s="11">
        <f>G12/$B$6</f>
        <v>4.7204724409448815</v>
      </c>
      <c r="I12" s="8">
        <f>Vision!B21</f>
        <v>3</v>
      </c>
      <c r="J12" s="8">
        <f>Vision!B22</f>
        <v>1</v>
      </c>
      <c r="K12" s="8">
        <f>Vision!B23</f>
        <v>0</v>
      </c>
    </row>
    <row r="13" spans="1:11" x14ac:dyDescent="0.25">
      <c r="A13" s="6" t="s">
        <v>20</v>
      </c>
      <c r="B13" s="7">
        <v>13</v>
      </c>
      <c r="C13" s="8">
        <f>Odometry!B17</f>
        <v>23</v>
      </c>
      <c r="D13" s="9">
        <f>Odometry!J17</f>
        <v>9.9899000000000004</v>
      </c>
      <c r="E13" s="8">
        <f>Odometry!B18</f>
        <v>3</v>
      </c>
      <c r="F13" s="10">
        <f>E13*$B$7</f>
        <v>9</v>
      </c>
      <c r="G13" s="10">
        <f>D13*$B$5</f>
        <v>49.9495</v>
      </c>
      <c r="H13" s="11">
        <f>G13/$B$6</f>
        <v>39.33031496062992</v>
      </c>
      <c r="I13" s="8">
        <f>Odometry!B19</f>
        <v>1</v>
      </c>
      <c r="J13" s="8">
        <f>Odometry!B20</f>
        <v>1</v>
      </c>
      <c r="K13" s="8">
        <f>Odometry!B21</f>
        <v>0</v>
      </c>
    </row>
    <row r="14" spans="1:11" x14ac:dyDescent="0.25">
      <c r="A14" s="12" t="s">
        <v>21</v>
      </c>
      <c r="B14" s="13">
        <f t="shared" ref="B14:K14" si="0">SUM(B11:B13)</f>
        <v>58</v>
      </c>
      <c r="C14" s="13">
        <f t="shared" si="0"/>
        <v>113</v>
      </c>
      <c r="D14" s="14">
        <f t="shared" si="0"/>
        <v>27.820999999999998</v>
      </c>
      <c r="E14" s="13">
        <f t="shared" si="0"/>
        <v>26</v>
      </c>
      <c r="F14" s="14">
        <f t="shared" si="0"/>
        <v>78</v>
      </c>
      <c r="G14" s="14">
        <f t="shared" si="0"/>
        <v>139.10500000000002</v>
      </c>
      <c r="H14" s="15">
        <f t="shared" si="0"/>
        <v>109.53149606299215</v>
      </c>
      <c r="I14" s="13">
        <f t="shared" si="0"/>
        <v>6</v>
      </c>
      <c r="J14" s="13">
        <f t="shared" si="0"/>
        <v>5</v>
      </c>
      <c r="K14" s="13">
        <f t="shared" si="0"/>
        <v>0</v>
      </c>
    </row>
    <row r="16" spans="1:11" x14ac:dyDescent="0.25">
      <c r="A16" s="3" t="s">
        <v>22</v>
      </c>
      <c r="B16" s="16">
        <f>D14/$B$6</f>
        <v>21.906299212598423</v>
      </c>
    </row>
    <row r="17" spans="1:11" x14ac:dyDescent="0.25">
      <c r="A17" s="3" t="s">
        <v>23</v>
      </c>
      <c r="B17" s="17">
        <f>F14</f>
        <v>78</v>
      </c>
    </row>
    <row r="19" spans="1:11" ht="30" customHeight="1" x14ac:dyDescent="0.25">
      <c r="A19" s="39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</row>
    <row r="20" spans="1:11" ht="30" customHeight="1" x14ac:dyDescent="0.25">
      <c r="A20" s="39" t="s">
        <v>25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</row>
    <row r="21" spans="1:11" ht="30" customHeight="1" x14ac:dyDescent="0.25">
      <c r="A21" s="39" t="s">
        <v>26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</row>
  </sheetData>
  <mergeCells count="3">
    <mergeCell ref="A19:K19"/>
    <mergeCell ref="A21:K21"/>
    <mergeCell ref="A20:K20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workbookViewId="0"/>
  </sheetViews>
  <sheetFormatPr defaultRowHeight="15" x14ac:dyDescent="0.25"/>
  <cols>
    <col min="1" max="1" width="46" customWidth="1"/>
    <col min="2" max="2" width="22" customWidth="1"/>
    <col min="3" max="3" width="18" customWidth="1"/>
    <col min="4" max="5" width="16" customWidth="1"/>
    <col min="6" max="6" width="40" customWidth="1"/>
    <col min="7" max="7" width="16" customWidth="1"/>
    <col min="8" max="9" width="12" customWidth="1"/>
    <col min="10" max="10" width="22" customWidth="1"/>
    <col min="11" max="11" width="24" customWidth="1"/>
    <col min="12" max="12" width="26" customWidth="1"/>
  </cols>
  <sheetData>
    <row r="1" spans="1:3" x14ac:dyDescent="0.25">
      <c r="A1" s="18" t="s">
        <v>27</v>
      </c>
    </row>
    <row r="2" spans="1:3" x14ac:dyDescent="0.25">
      <c r="A2" s="2" t="s">
        <v>28</v>
      </c>
    </row>
    <row r="4" spans="1:3" x14ac:dyDescent="0.25">
      <c r="A4" s="3" t="s">
        <v>29</v>
      </c>
      <c r="B4" s="19">
        <f>Summary!B5</f>
        <v>5</v>
      </c>
      <c r="C4" s="2" t="s">
        <v>30</v>
      </c>
    </row>
    <row r="5" spans="1:3" x14ac:dyDescent="0.25">
      <c r="A5" s="3" t="s">
        <v>4</v>
      </c>
      <c r="B5" s="19">
        <f>Summary!B6</f>
        <v>1.27</v>
      </c>
      <c r="C5" s="2" t="s">
        <v>31</v>
      </c>
    </row>
    <row r="6" spans="1:3" x14ac:dyDescent="0.25">
      <c r="A6" s="3" t="s">
        <v>32</v>
      </c>
      <c r="B6" s="4">
        <v>7</v>
      </c>
      <c r="C6" s="2" t="s">
        <v>33</v>
      </c>
    </row>
    <row r="7" spans="1:3" x14ac:dyDescent="0.25">
      <c r="A7" s="3" t="s">
        <v>34</v>
      </c>
      <c r="B7" s="20">
        <v>8.18</v>
      </c>
      <c r="C7" s="2" t="s">
        <v>35</v>
      </c>
    </row>
    <row r="8" spans="1:3" x14ac:dyDescent="0.25">
      <c r="A8" s="3" t="s">
        <v>36</v>
      </c>
      <c r="B8" s="20">
        <v>1.53</v>
      </c>
      <c r="C8" s="2"/>
    </row>
    <row r="9" spans="1:3" x14ac:dyDescent="0.25">
      <c r="A9" s="3" t="s">
        <v>37</v>
      </c>
      <c r="B9" s="20">
        <v>3.07</v>
      </c>
      <c r="C9" s="2" t="s">
        <v>38</v>
      </c>
    </row>
    <row r="10" spans="1:3" x14ac:dyDescent="0.25">
      <c r="A10" s="3" t="s">
        <v>39</v>
      </c>
      <c r="B10" s="20">
        <v>51.12</v>
      </c>
      <c r="C10" s="2" t="s">
        <v>40</v>
      </c>
    </row>
    <row r="11" spans="1:3" x14ac:dyDescent="0.25">
      <c r="A11" s="3" t="s">
        <v>41</v>
      </c>
      <c r="B11" s="20">
        <v>16.420000000000002</v>
      </c>
      <c r="C11" s="2"/>
    </row>
    <row r="12" spans="1:3" x14ac:dyDescent="0.25">
      <c r="A12" s="3" t="s">
        <v>42</v>
      </c>
      <c r="B12" s="20">
        <v>1.53</v>
      </c>
      <c r="C12" s="2" t="s">
        <v>43</v>
      </c>
    </row>
    <row r="13" spans="1:3" x14ac:dyDescent="0.25">
      <c r="A13" s="3" t="s">
        <v>44</v>
      </c>
      <c r="B13" s="21">
        <v>1.6000000000000001E-3</v>
      </c>
      <c r="C13" s="2" t="s">
        <v>45</v>
      </c>
    </row>
    <row r="14" spans="1:3" x14ac:dyDescent="0.25">
      <c r="A14" s="3" t="s">
        <v>46</v>
      </c>
      <c r="B14" s="20">
        <v>28</v>
      </c>
      <c r="C14" s="2" t="s">
        <v>47</v>
      </c>
    </row>
    <row r="15" spans="1:3" x14ac:dyDescent="0.25">
      <c r="A15" s="3" t="s">
        <v>48</v>
      </c>
      <c r="B15" s="22">
        <f>SUM(K18:K21)+B16</f>
        <v>420.92999999999995</v>
      </c>
      <c r="C15" s="2" t="s">
        <v>49</v>
      </c>
    </row>
    <row r="16" spans="1:3" x14ac:dyDescent="0.25">
      <c r="A16" s="3" t="s">
        <v>50</v>
      </c>
      <c r="B16" s="20">
        <v>-19.38</v>
      </c>
      <c r="C16" s="2" t="s">
        <v>51</v>
      </c>
    </row>
    <row r="17" spans="1:12" ht="25.5" x14ac:dyDescent="0.25">
      <c r="A17" s="5" t="s">
        <v>7</v>
      </c>
      <c r="B17" s="5" t="s">
        <v>52</v>
      </c>
      <c r="C17" s="5" t="s">
        <v>53</v>
      </c>
      <c r="D17" s="5" t="s">
        <v>11</v>
      </c>
      <c r="E17" s="5" t="s">
        <v>9</v>
      </c>
      <c r="F17" s="5" t="s">
        <v>54</v>
      </c>
      <c r="G17" s="5" t="s">
        <v>55</v>
      </c>
      <c r="H17" s="5" t="s">
        <v>56</v>
      </c>
      <c r="I17" s="5" t="s">
        <v>57</v>
      </c>
      <c r="J17" s="5" t="s">
        <v>58</v>
      </c>
      <c r="K17" s="5" t="s">
        <v>59</v>
      </c>
      <c r="L17" s="5" t="s">
        <v>60</v>
      </c>
    </row>
    <row r="18" spans="1:12" x14ac:dyDescent="0.25">
      <c r="A18" s="6" t="s">
        <v>18</v>
      </c>
      <c r="B18" s="4" t="s">
        <v>61</v>
      </c>
      <c r="C18" s="8">
        <f>COUNTA(Motion!E3:E32)</f>
        <v>28</v>
      </c>
      <c r="D18" s="8">
        <f>Motion!B35</f>
        <v>18</v>
      </c>
      <c r="E18" s="8">
        <f>Motion!B34-Motion!B36</f>
        <v>61</v>
      </c>
      <c r="F18" s="23">
        <f>IF(B18="Economic top only",$B$7+$B$8,$B$10+$B$11)</f>
        <v>67.539999999999992</v>
      </c>
      <c r="G18" s="23">
        <f>IF(B18="Economic top only",D18*$B$9,C18*$B$12)</f>
        <v>42.84</v>
      </c>
      <c r="H18" s="23">
        <f>E18*2.5*$B$4*$B$13</f>
        <v>1.22</v>
      </c>
      <c r="I18" s="23">
        <f>$B$6*$B$4/5</f>
        <v>7</v>
      </c>
      <c r="J18" s="23">
        <f>SUM(F18:I18)</f>
        <v>118.6</v>
      </c>
      <c r="K18" s="20">
        <v>200.34</v>
      </c>
      <c r="L18" s="24" t="s">
        <v>62</v>
      </c>
    </row>
    <row r="19" spans="1:12" x14ac:dyDescent="0.25">
      <c r="A19" s="6" t="s">
        <v>19</v>
      </c>
      <c r="B19" s="4" t="s">
        <v>63</v>
      </c>
      <c r="C19" s="8">
        <f>COUNTA(Vision!E3:E17)</f>
        <v>12</v>
      </c>
      <c r="D19" s="8">
        <f>Vision!B20</f>
        <v>5</v>
      </c>
      <c r="E19" s="8">
        <f>Vision!B19-Vision!B21</f>
        <v>24</v>
      </c>
      <c r="F19" s="23">
        <f>IF(B19="Economic top only",$B$7+$B$8,$B$10+$B$11)</f>
        <v>9.7099999999999991</v>
      </c>
      <c r="G19" s="23">
        <f>IF(B19="Economic top only",D19*$B$9,C19*$B$12)</f>
        <v>15.35</v>
      </c>
      <c r="H19" s="23">
        <f>E19*2.5*$B$4*$B$13</f>
        <v>0.48000000000000004</v>
      </c>
      <c r="I19" s="23">
        <f>$B$6*$B$4/5</f>
        <v>7</v>
      </c>
      <c r="J19" s="23">
        <f>SUM(F19:I19)</f>
        <v>32.54</v>
      </c>
      <c r="K19" s="20">
        <v>103.67</v>
      </c>
      <c r="L19" s="24" t="s">
        <v>64</v>
      </c>
    </row>
    <row r="20" spans="1:12" x14ac:dyDescent="0.25">
      <c r="A20" s="6" t="s">
        <v>20</v>
      </c>
      <c r="B20" s="4" t="s">
        <v>63</v>
      </c>
      <c r="C20" s="8">
        <f>COUNTA(Odometry!E3:E15)</f>
        <v>12</v>
      </c>
      <c r="D20" s="8">
        <f>Odometry!B18</f>
        <v>3</v>
      </c>
      <c r="E20" s="8">
        <f>Odometry!B17-Odometry!B19</f>
        <v>22</v>
      </c>
      <c r="F20" s="23">
        <f>IF(B20="Economic top only",$B$7+$B$8,$B$10+$B$11)</f>
        <v>9.7099999999999991</v>
      </c>
      <c r="G20" s="23">
        <f>IF(B20="Economic top only",D20*$B$9,C20*$B$12)</f>
        <v>9.2099999999999991</v>
      </c>
      <c r="H20" s="23">
        <f>E20*2.5*$B$4*$B$13</f>
        <v>0.44</v>
      </c>
      <c r="I20" s="23">
        <f>$B$6*$B$4/5</f>
        <v>7</v>
      </c>
      <c r="J20" s="23">
        <f>SUM(F20:I20)</f>
        <v>26.36</v>
      </c>
      <c r="K20" s="20">
        <v>112.4</v>
      </c>
      <c r="L20" s="24" t="s">
        <v>65</v>
      </c>
    </row>
    <row r="21" spans="1:12" x14ac:dyDescent="0.25">
      <c r="J21" s="25" t="s">
        <v>66</v>
      </c>
      <c r="K21" s="20">
        <v>23.9</v>
      </c>
    </row>
    <row r="22" spans="1:12" x14ac:dyDescent="0.25">
      <c r="A22" s="3" t="s">
        <v>67</v>
      </c>
      <c r="B22" s="26">
        <f>SUM(J18:J20)</f>
        <v>177.5</v>
      </c>
    </row>
    <row r="23" spans="1:12" x14ac:dyDescent="0.25">
      <c r="A23" s="3" t="s">
        <v>68</v>
      </c>
      <c r="B23" s="26">
        <f>Summary!G14</f>
        <v>139.10500000000002</v>
      </c>
    </row>
    <row r="24" spans="1:12" x14ac:dyDescent="0.25">
      <c r="A24" s="3" t="s">
        <v>69</v>
      </c>
      <c r="B24" s="26">
        <f>B14</f>
        <v>28</v>
      </c>
    </row>
    <row r="25" spans="1:12" x14ac:dyDescent="0.25">
      <c r="A25" s="3" t="s">
        <v>70</v>
      </c>
      <c r="B25" s="26">
        <f>SUM(B22:B24)</f>
        <v>344.60500000000002</v>
      </c>
    </row>
    <row r="26" spans="1:12" x14ac:dyDescent="0.25">
      <c r="A26" s="12" t="s">
        <v>71</v>
      </c>
      <c r="B26" s="17">
        <f>IF(B15&gt;0,B15,B25)</f>
        <v>420.92999999999995</v>
      </c>
    </row>
    <row r="27" spans="1:12" x14ac:dyDescent="0.25">
      <c r="A27" s="12" t="s">
        <v>72</v>
      </c>
      <c r="B27" s="16">
        <f>B26/B5</f>
        <v>331.44094488188972</v>
      </c>
      <c r="F27" s="2" t="s">
        <v>73</v>
      </c>
    </row>
    <row r="28" spans="1:12" x14ac:dyDescent="0.25">
      <c r="A28" s="3" t="s">
        <v>74</v>
      </c>
      <c r="B28" s="26">
        <f>IF(B15&gt;0,B15-B25,0)</f>
        <v>76.324999999999932</v>
      </c>
    </row>
    <row r="29" spans="1:12" ht="25.5" x14ac:dyDescent="0.25">
      <c r="A29" s="5" t="s">
        <v>75</v>
      </c>
      <c r="B29" s="5" t="s">
        <v>76</v>
      </c>
      <c r="C29" s="5" t="s">
        <v>77</v>
      </c>
      <c r="D29" s="5" t="s">
        <v>78</v>
      </c>
      <c r="E29" s="5" t="s">
        <v>79</v>
      </c>
      <c r="F29" s="5" t="s">
        <v>80</v>
      </c>
    </row>
    <row r="30" spans="1:12" x14ac:dyDescent="0.25">
      <c r="A30" s="3" t="s">
        <v>81</v>
      </c>
      <c r="B30" s="4">
        <v>1</v>
      </c>
      <c r="C30" s="20">
        <v>20</v>
      </c>
      <c r="D30" s="27">
        <f t="shared" ref="D30:D39" si="0">B30*C30</f>
        <v>20</v>
      </c>
      <c r="E30" s="27">
        <f t="shared" ref="E30:E39" si="1">D30*$B$4</f>
        <v>100</v>
      </c>
      <c r="F30" s="2" t="s">
        <v>82</v>
      </c>
    </row>
    <row r="31" spans="1:12" x14ac:dyDescent="0.25">
      <c r="A31" s="3" t="s">
        <v>83</v>
      </c>
      <c r="B31" s="4">
        <v>1</v>
      </c>
      <c r="C31" s="20">
        <v>8</v>
      </c>
      <c r="D31" s="27">
        <f t="shared" si="0"/>
        <v>8</v>
      </c>
      <c r="E31" s="27">
        <f t="shared" si="1"/>
        <v>40</v>
      </c>
      <c r="F31" s="2" t="s">
        <v>84</v>
      </c>
    </row>
    <row r="32" spans="1:12" x14ac:dyDescent="0.25">
      <c r="A32" s="3" t="s">
        <v>85</v>
      </c>
      <c r="B32" s="4">
        <v>1</v>
      </c>
      <c r="C32" s="20">
        <v>8</v>
      </c>
      <c r="D32" s="27">
        <f t="shared" si="0"/>
        <v>8</v>
      </c>
      <c r="E32" s="27">
        <f t="shared" si="1"/>
        <v>40</v>
      </c>
      <c r="F32" s="2" t="s">
        <v>86</v>
      </c>
    </row>
    <row r="33" spans="1:6" x14ac:dyDescent="0.25">
      <c r="A33" s="3" t="s">
        <v>87</v>
      </c>
      <c r="B33" s="4">
        <v>1</v>
      </c>
      <c r="C33" s="20">
        <v>15</v>
      </c>
      <c r="D33" s="27">
        <f t="shared" si="0"/>
        <v>15</v>
      </c>
      <c r="E33" s="27">
        <f t="shared" si="1"/>
        <v>75</v>
      </c>
      <c r="F33" s="2" t="s">
        <v>88</v>
      </c>
    </row>
    <row r="34" spans="1:6" x14ac:dyDescent="0.25">
      <c r="A34" s="3" t="s">
        <v>89</v>
      </c>
      <c r="B34" s="4">
        <v>2</v>
      </c>
      <c r="C34" s="20">
        <v>1</v>
      </c>
      <c r="D34" s="27">
        <f t="shared" si="0"/>
        <v>2</v>
      </c>
      <c r="E34" s="27">
        <f t="shared" si="1"/>
        <v>10</v>
      </c>
      <c r="F34" s="2" t="s">
        <v>90</v>
      </c>
    </row>
    <row r="35" spans="1:6" x14ac:dyDescent="0.25">
      <c r="A35" s="3" t="s">
        <v>91</v>
      </c>
      <c r="B35" s="4">
        <v>1</v>
      </c>
      <c r="C35" s="20">
        <v>1.5</v>
      </c>
      <c r="D35" s="27">
        <f t="shared" si="0"/>
        <v>1.5</v>
      </c>
      <c r="E35" s="27">
        <f t="shared" si="1"/>
        <v>7.5</v>
      </c>
      <c r="F35" s="2" t="s">
        <v>92</v>
      </c>
    </row>
    <row r="36" spans="1:6" x14ac:dyDescent="0.25">
      <c r="A36" s="3" t="s">
        <v>93</v>
      </c>
      <c r="B36" s="4">
        <v>1</v>
      </c>
      <c r="C36" s="20">
        <v>4</v>
      </c>
      <c r="D36" s="27">
        <f t="shared" si="0"/>
        <v>4</v>
      </c>
      <c r="E36" s="27">
        <f t="shared" si="1"/>
        <v>20</v>
      </c>
      <c r="F36" s="2" t="s">
        <v>94</v>
      </c>
    </row>
    <row r="37" spans="1:6" x14ac:dyDescent="0.25">
      <c r="A37" s="3" t="s">
        <v>95</v>
      </c>
      <c r="B37" s="4">
        <v>4</v>
      </c>
      <c r="C37" s="20">
        <v>2</v>
      </c>
      <c r="D37" s="27">
        <f t="shared" si="0"/>
        <v>8</v>
      </c>
      <c r="E37" s="27">
        <f t="shared" si="1"/>
        <v>40</v>
      </c>
      <c r="F37" s="2"/>
    </row>
    <row r="38" spans="1:6" x14ac:dyDescent="0.25">
      <c r="A38" s="3" t="s">
        <v>96</v>
      </c>
      <c r="B38" s="4">
        <v>2</v>
      </c>
      <c r="C38" s="20">
        <v>6</v>
      </c>
      <c r="D38" s="27">
        <f t="shared" si="0"/>
        <v>12</v>
      </c>
      <c r="E38" s="27">
        <f t="shared" si="1"/>
        <v>60</v>
      </c>
      <c r="F38" s="2"/>
    </row>
    <row r="39" spans="1:6" x14ac:dyDescent="0.25">
      <c r="A39" s="3" t="s">
        <v>97</v>
      </c>
      <c r="B39" s="4">
        <v>1</v>
      </c>
      <c r="C39" s="20">
        <v>1</v>
      </c>
      <c r="D39" s="27">
        <f t="shared" si="0"/>
        <v>1</v>
      </c>
      <c r="E39" s="27">
        <f t="shared" si="1"/>
        <v>5</v>
      </c>
      <c r="F39" s="2"/>
    </row>
    <row r="41" spans="1:6" x14ac:dyDescent="0.25">
      <c r="A41" s="12" t="s">
        <v>98</v>
      </c>
      <c r="B41" s="27">
        <f>SUM(D30:D39)</f>
        <v>79.5</v>
      </c>
    </row>
    <row r="42" spans="1:6" x14ac:dyDescent="0.25">
      <c r="A42" s="12" t="s">
        <v>99</v>
      </c>
      <c r="B42" s="27">
        <f>SUM(E30:E39)</f>
        <v>397.5</v>
      </c>
    </row>
    <row r="44" spans="1:6" x14ac:dyDescent="0.25">
      <c r="A44" s="18" t="s">
        <v>100</v>
      </c>
      <c r="B44" s="28">
        <f>B26+B42</f>
        <v>818.43</v>
      </c>
    </row>
    <row r="45" spans="1:6" x14ac:dyDescent="0.25">
      <c r="A45" s="18" t="s">
        <v>101</v>
      </c>
      <c r="B45" s="29">
        <f>B44/B5</f>
        <v>644.43307086614163</v>
      </c>
    </row>
    <row r="46" spans="1:6" x14ac:dyDescent="0.25">
      <c r="A46" s="18" t="s">
        <v>102</v>
      </c>
      <c r="B46" s="29">
        <f>B45/B4</f>
        <v>128.88661417322834</v>
      </c>
    </row>
    <row r="48" spans="1:6" x14ac:dyDescent="0.25">
      <c r="A48" s="2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26" customWidth="1"/>
    <col min="3" max="3" width="18" customWidth="1"/>
    <col min="4" max="4" width="70" customWidth="1"/>
    <col min="5" max="5" width="11" customWidth="1"/>
    <col min="6" max="6" width="12" customWidth="1"/>
    <col min="7" max="8" width="14" customWidth="1"/>
    <col min="9" max="9" width="12" customWidth="1"/>
    <col min="10" max="11" width="14" customWidth="1"/>
    <col min="12" max="12" width="13" customWidth="1"/>
    <col min="13" max="13" width="60" customWidth="1"/>
  </cols>
  <sheetData>
    <row r="1" spans="1:13" x14ac:dyDescent="0.25">
      <c r="A1" s="2" t="s">
        <v>104</v>
      </c>
    </row>
    <row r="2" spans="1:13" ht="25.5" x14ac:dyDescent="0.25">
      <c r="A2" s="5" t="s">
        <v>105</v>
      </c>
      <c r="B2" s="5" t="s">
        <v>106</v>
      </c>
      <c r="C2" s="5" t="s">
        <v>107</v>
      </c>
      <c r="D2" s="5" t="s">
        <v>108</v>
      </c>
      <c r="E2" s="5" t="s">
        <v>109</v>
      </c>
      <c r="F2" s="5" t="s">
        <v>110</v>
      </c>
      <c r="G2" s="5" t="s">
        <v>77</v>
      </c>
      <c r="H2" s="5" t="s">
        <v>111</v>
      </c>
      <c r="I2" s="5" t="s">
        <v>112</v>
      </c>
      <c r="J2" s="5" t="s">
        <v>113</v>
      </c>
      <c r="K2" s="5" t="s">
        <v>114</v>
      </c>
      <c r="L2" s="5" t="s">
        <v>115</v>
      </c>
      <c r="M2" s="5" t="s">
        <v>116</v>
      </c>
    </row>
    <row r="3" spans="1:13" x14ac:dyDescent="0.25">
      <c r="A3" s="6" t="s">
        <v>117</v>
      </c>
      <c r="B3" s="6" t="s">
        <v>118</v>
      </c>
      <c r="C3" s="6" t="s">
        <v>119</v>
      </c>
      <c r="D3" s="6" t="s">
        <v>120</v>
      </c>
      <c r="E3" s="6" t="s">
        <v>121</v>
      </c>
      <c r="F3" s="30">
        <v>129</v>
      </c>
      <c r="G3" s="31">
        <v>2.7355</v>
      </c>
      <c r="H3" s="6" t="s">
        <v>122</v>
      </c>
      <c r="I3" s="6" t="s">
        <v>123</v>
      </c>
      <c r="J3" s="6">
        <f>SUMIF(Motion!$E$3:$E$32,$A3,Motion!$B$3:$B$32)+SUMIF(Vision!$E$3:$E$17,$A3,Vision!$B$3:$B$17)+SUMIF(Odometry!$E$3:$E$15,$A3,Odometry!$B$3:$B$15)</f>
        <v>4</v>
      </c>
      <c r="K3" s="6">
        <f>J3*Summary!$B$5</f>
        <v>20</v>
      </c>
      <c r="L3" s="6" t="str">
        <f>IF(F3&lt;K3,"SHORT",IF(F3&lt;Summary!$B$8,"Thin","OK"))</f>
        <v>Thin</v>
      </c>
      <c r="M3" s="32" t="s">
        <v>124</v>
      </c>
    </row>
    <row r="4" spans="1:13" x14ac:dyDescent="0.25">
      <c r="A4" s="6" t="s">
        <v>125</v>
      </c>
      <c r="B4" s="6" t="s">
        <v>126</v>
      </c>
      <c r="C4" s="6" t="s">
        <v>127</v>
      </c>
      <c r="D4" s="6" t="s">
        <v>128</v>
      </c>
      <c r="E4" s="6" t="s">
        <v>129</v>
      </c>
      <c r="F4" s="30">
        <v>37375769</v>
      </c>
      <c r="G4" s="31">
        <v>5.1000000000000004E-3</v>
      </c>
      <c r="H4" s="6" t="s">
        <v>122</v>
      </c>
      <c r="I4" s="6" t="s">
        <v>123</v>
      </c>
      <c r="J4" s="6">
        <f>SUMIF(Motion!$E$3:$E$32,$A4,Motion!$B$3:$B$32)+SUMIF(Vision!$E$3:$E$17,$A4,Vision!$B$3:$B$17)+SUMIF(Odometry!$E$3:$E$15,$A4,Odometry!$B$3:$B$15)</f>
        <v>14</v>
      </c>
      <c r="K4" s="6">
        <f>J4*Summary!$B$5</f>
        <v>70</v>
      </c>
      <c r="L4" s="6" t="str">
        <f>IF(F4&lt;K4,"SHORT",IF(F4&lt;Summary!$B$8,"Thin","OK"))</f>
        <v>OK</v>
      </c>
      <c r="M4" s="32" t="s">
        <v>130</v>
      </c>
    </row>
    <row r="5" spans="1:13" x14ac:dyDescent="0.25">
      <c r="A5" s="6" t="s">
        <v>131</v>
      </c>
      <c r="B5" s="6" t="s">
        <v>132</v>
      </c>
      <c r="C5" s="6" t="s">
        <v>119</v>
      </c>
      <c r="D5" s="6" t="s">
        <v>133</v>
      </c>
      <c r="E5" s="6" t="s">
        <v>121</v>
      </c>
      <c r="F5" s="30">
        <v>13311</v>
      </c>
      <c r="G5" s="31">
        <v>0.95840000000000003</v>
      </c>
      <c r="H5" s="6" t="s">
        <v>122</v>
      </c>
      <c r="I5" s="6" t="s">
        <v>123</v>
      </c>
      <c r="J5" s="6">
        <f>SUMIF(Motion!$E$3:$E$32,$A5,Motion!$B$3:$B$32)+SUMIF(Vision!$E$3:$E$17,$A5,Vision!$B$3:$B$17)+SUMIF(Odometry!$E$3:$E$15,$A5,Odometry!$B$3:$B$15)</f>
        <v>1</v>
      </c>
      <c r="K5" s="6">
        <f>J5*Summary!$B$5</f>
        <v>5</v>
      </c>
      <c r="L5" s="6" t="str">
        <f>IF(F5&lt;K5,"SHORT",IF(F5&lt;Summary!$B$8,"Thin","OK"))</f>
        <v>OK</v>
      </c>
      <c r="M5" s="32" t="s">
        <v>134</v>
      </c>
    </row>
    <row r="6" spans="1:13" x14ac:dyDescent="0.25">
      <c r="A6" s="6" t="s">
        <v>135</v>
      </c>
      <c r="B6" s="6" t="s">
        <v>136</v>
      </c>
      <c r="C6" s="6" t="s">
        <v>127</v>
      </c>
      <c r="D6" s="6" t="s">
        <v>137</v>
      </c>
      <c r="E6" s="6" t="s">
        <v>129</v>
      </c>
      <c r="F6" s="30">
        <v>7849987</v>
      </c>
      <c r="G6" s="31">
        <v>8.4699999999999998E-2</v>
      </c>
      <c r="H6" s="6" t="s">
        <v>122</v>
      </c>
      <c r="I6" s="6" t="s">
        <v>123</v>
      </c>
      <c r="J6" s="6">
        <f>SUMIF(Motion!$E$3:$E$32,$A6,Motion!$B$3:$B$32)+SUMIF(Vision!$E$3:$E$17,$A6,Vision!$B$3:$B$17)+SUMIF(Odometry!$E$3:$E$15,$A6,Odometry!$B$3:$B$15)</f>
        <v>13</v>
      </c>
      <c r="K6" s="6">
        <f>J6*Summary!$B$5</f>
        <v>65</v>
      </c>
      <c r="L6" s="6" t="str">
        <f>IF(F6&lt;K6,"SHORT",IF(F6&lt;Summary!$B$8,"Thin","OK"))</f>
        <v>OK</v>
      </c>
      <c r="M6" s="32" t="s">
        <v>138</v>
      </c>
    </row>
    <row r="7" spans="1:13" x14ac:dyDescent="0.25">
      <c r="A7" s="6" t="s">
        <v>139</v>
      </c>
      <c r="B7" s="6" t="s">
        <v>140</v>
      </c>
      <c r="C7" s="6" t="s">
        <v>127</v>
      </c>
      <c r="D7" s="6" t="s">
        <v>141</v>
      </c>
      <c r="E7" s="6" t="s">
        <v>129</v>
      </c>
      <c r="F7" s="30">
        <v>2640152</v>
      </c>
      <c r="G7" s="31">
        <v>6.7999999999999996E-3</v>
      </c>
      <c r="H7" s="6" t="s">
        <v>122</v>
      </c>
      <c r="I7" s="6" t="s">
        <v>142</v>
      </c>
      <c r="J7" s="6">
        <f>SUMIF(Motion!$E$3:$E$32,$A7,Motion!$B$3:$B$32)+SUMIF(Vision!$E$3:$E$17,$A7,Vision!$B$3:$B$17)+SUMIF(Odometry!$E$3:$E$15,$A7,Odometry!$B$3:$B$15)</f>
        <v>2</v>
      </c>
      <c r="K7" s="6">
        <f>J7*Summary!$B$5</f>
        <v>10</v>
      </c>
      <c r="L7" s="6" t="str">
        <f>IF(F7&lt;K7,"SHORT",IF(F7&lt;Summary!$B$8,"Thin","OK"))</f>
        <v>OK</v>
      </c>
      <c r="M7" s="32" t="s">
        <v>143</v>
      </c>
    </row>
    <row r="8" spans="1:13" x14ac:dyDescent="0.25">
      <c r="A8" s="6" t="s">
        <v>144</v>
      </c>
      <c r="B8" s="6" t="s">
        <v>145</v>
      </c>
      <c r="C8" s="6" t="s">
        <v>127</v>
      </c>
      <c r="D8" s="6" t="s">
        <v>146</v>
      </c>
      <c r="E8" s="6" t="s">
        <v>129</v>
      </c>
      <c r="F8" s="30">
        <v>4016851</v>
      </c>
      <c r="G8" s="31">
        <v>3.3300000000000003E-2</v>
      </c>
      <c r="H8" s="6" t="s">
        <v>122</v>
      </c>
      <c r="I8" s="6" t="s">
        <v>123</v>
      </c>
      <c r="J8" s="6">
        <f>SUMIF(Motion!$E$3:$E$32,$A8,Motion!$B$3:$B$32)+SUMIF(Vision!$E$3:$E$17,$A8,Vision!$B$3:$B$17)+SUMIF(Odometry!$E$3:$E$15,$A8,Odometry!$B$3:$B$15)</f>
        <v>1</v>
      </c>
      <c r="K8" s="6">
        <f>J8*Summary!$B$5</f>
        <v>5</v>
      </c>
      <c r="L8" s="6" t="str">
        <f>IF(F8&lt;K8,"SHORT",IF(F8&lt;Summary!$B$8,"Thin","OK"))</f>
        <v>OK</v>
      </c>
      <c r="M8" s="32" t="s">
        <v>147</v>
      </c>
    </row>
    <row r="9" spans="1:13" x14ac:dyDescent="0.25">
      <c r="A9" s="6" t="s">
        <v>148</v>
      </c>
      <c r="B9" s="6" t="s">
        <v>149</v>
      </c>
      <c r="C9" s="6" t="s">
        <v>150</v>
      </c>
      <c r="D9" s="6" t="s">
        <v>151</v>
      </c>
      <c r="E9" s="6" t="s">
        <v>121</v>
      </c>
      <c r="F9" s="30">
        <v>53558</v>
      </c>
      <c r="G9" s="31">
        <v>0.1384</v>
      </c>
      <c r="H9" s="6" t="s">
        <v>122</v>
      </c>
      <c r="I9" s="6" t="s">
        <v>123</v>
      </c>
      <c r="J9" s="6">
        <f>SUMIF(Motion!$E$3:$E$32,$A9,Motion!$B$3:$B$32)+SUMIF(Vision!$E$3:$E$17,$A9,Vision!$B$3:$B$17)+SUMIF(Odometry!$E$3:$E$15,$A9,Odometry!$B$3:$B$15)</f>
        <v>1</v>
      </c>
      <c r="K9" s="6">
        <f>J9*Summary!$B$5</f>
        <v>5</v>
      </c>
      <c r="L9" s="6" t="str">
        <f>IF(F9&lt;K9,"SHORT",IF(F9&lt;Summary!$B$8,"Thin","OK"))</f>
        <v>OK</v>
      </c>
      <c r="M9" s="32" t="s">
        <v>152</v>
      </c>
    </row>
    <row r="10" spans="1:13" x14ac:dyDescent="0.25">
      <c r="A10" s="6" t="s">
        <v>153</v>
      </c>
      <c r="B10" s="6" t="s">
        <v>154</v>
      </c>
      <c r="C10" s="6" t="s">
        <v>155</v>
      </c>
      <c r="D10" s="6" t="s">
        <v>156</v>
      </c>
      <c r="E10" s="6" t="s">
        <v>129</v>
      </c>
      <c r="F10" s="30">
        <v>3999877</v>
      </c>
      <c r="G10" s="31">
        <v>3.7000000000000002E-3</v>
      </c>
      <c r="H10" s="6" t="s">
        <v>122</v>
      </c>
      <c r="I10" s="6" t="s">
        <v>123</v>
      </c>
      <c r="J10" s="6">
        <f>SUMIF(Motion!$E$3:$E$32,$A10,Motion!$B$3:$B$32)+SUMIF(Vision!$E$3:$E$17,$A10,Vision!$B$3:$B$17)+SUMIF(Odometry!$E$3:$E$15,$A10,Odometry!$B$3:$B$15)</f>
        <v>1</v>
      </c>
      <c r="K10" s="6">
        <f>J10*Summary!$B$5</f>
        <v>5</v>
      </c>
      <c r="L10" s="6" t="str">
        <f>IF(F10&lt;K10,"SHORT",IF(F10&lt;Summary!$B$8,"Thin","OK"))</f>
        <v>OK</v>
      </c>
      <c r="M10" s="32" t="s">
        <v>157</v>
      </c>
    </row>
    <row r="11" spans="1:13" x14ac:dyDescent="0.25">
      <c r="A11" s="6" t="s">
        <v>158</v>
      </c>
      <c r="B11" s="6" t="s">
        <v>159</v>
      </c>
      <c r="C11" s="6" t="s">
        <v>155</v>
      </c>
      <c r="D11" s="6" t="s">
        <v>160</v>
      </c>
      <c r="E11" s="6" t="s">
        <v>129</v>
      </c>
      <c r="F11" s="30">
        <v>2403330</v>
      </c>
      <c r="G11" s="31">
        <v>4.1000000000000003E-3</v>
      </c>
      <c r="H11" s="6" t="s">
        <v>122</v>
      </c>
      <c r="I11" s="6" t="s">
        <v>142</v>
      </c>
      <c r="J11" s="6">
        <f>SUMIF(Motion!$E$3:$E$32,$A11,Motion!$B$3:$B$32)+SUMIF(Vision!$E$3:$E$17,$A11,Vision!$B$3:$B$17)+SUMIF(Odometry!$E$3:$E$15,$A11,Odometry!$B$3:$B$15)</f>
        <v>1</v>
      </c>
      <c r="K11" s="6">
        <f>J11*Summary!$B$5</f>
        <v>5</v>
      </c>
      <c r="L11" s="6" t="str">
        <f>IF(F11&lt;K11,"SHORT",IF(F11&lt;Summary!$B$8,"Thin","OK"))</f>
        <v>OK</v>
      </c>
      <c r="M11" s="32" t="s">
        <v>161</v>
      </c>
    </row>
    <row r="12" spans="1:13" x14ac:dyDescent="0.25">
      <c r="A12" s="6" t="s">
        <v>162</v>
      </c>
      <c r="B12" s="6" t="s">
        <v>163</v>
      </c>
      <c r="C12" s="6" t="s">
        <v>155</v>
      </c>
      <c r="D12" s="6" t="s">
        <v>164</v>
      </c>
      <c r="E12" s="6" t="s">
        <v>129</v>
      </c>
      <c r="F12" s="30">
        <v>12874055</v>
      </c>
      <c r="G12" s="31">
        <v>2.8E-3</v>
      </c>
      <c r="H12" s="6" t="s">
        <v>122</v>
      </c>
      <c r="I12" s="6" t="s">
        <v>123</v>
      </c>
      <c r="J12" s="6">
        <f>SUMIF(Motion!$E$3:$E$32,$A12,Motion!$B$3:$B$32)+SUMIF(Vision!$E$3:$E$17,$A12,Vision!$B$3:$B$17)+SUMIF(Odometry!$E$3:$E$15,$A12,Odometry!$B$3:$B$15)</f>
        <v>3</v>
      </c>
      <c r="K12" s="6">
        <f>J12*Summary!$B$5</f>
        <v>15</v>
      </c>
      <c r="L12" s="6" t="str">
        <f>IF(F12&lt;K12,"SHORT",IF(F12&lt;Summary!$B$8,"Thin","OK"))</f>
        <v>OK</v>
      </c>
      <c r="M12" s="32" t="s">
        <v>165</v>
      </c>
    </row>
    <row r="13" spans="1:13" x14ac:dyDescent="0.25">
      <c r="A13" s="6" t="s">
        <v>166</v>
      </c>
      <c r="B13" s="6" t="s">
        <v>167</v>
      </c>
      <c r="C13" s="6" t="s">
        <v>155</v>
      </c>
      <c r="D13" s="6" t="s">
        <v>168</v>
      </c>
      <c r="E13" s="6" t="s">
        <v>129</v>
      </c>
      <c r="F13" s="30">
        <v>30863902</v>
      </c>
      <c r="G13" s="31">
        <v>3.0999999999999999E-3</v>
      </c>
      <c r="H13" s="6" t="s">
        <v>122</v>
      </c>
      <c r="I13" s="6" t="s">
        <v>123</v>
      </c>
      <c r="J13" s="6">
        <f>SUMIF(Motion!$E$3:$E$32,$A13,Motion!$B$3:$B$32)+SUMIF(Vision!$E$3:$E$17,$A13,Vision!$B$3:$B$17)+SUMIF(Odometry!$E$3:$E$15,$A13,Odometry!$B$3:$B$15)</f>
        <v>10</v>
      </c>
      <c r="K13" s="6">
        <f>J13*Summary!$B$5</f>
        <v>50</v>
      </c>
      <c r="L13" s="6" t="str">
        <f>IF(F13&lt;K13,"SHORT",IF(F13&lt;Summary!$B$8,"Thin","OK"))</f>
        <v>OK</v>
      </c>
      <c r="M13" s="32" t="s">
        <v>169</v>
      </c>
    </row>
    <row r="14" spans="1:13" x14ac:dyDescent="0.25">
      <c r="A14" s="6" t="s">
        <v>170</v>
      </c>
      <c r="B14" s="6" t="s">
        <v>171</v>
      </c>
      <c r="C14" s="6" t="s">
        <v>155</v>
      </c>
      <c r="D14" s="6" t="s">
        <v>172</v>
      </c>
      <c r="E14" s="6" t="s">
        <v>121</v>
      </c>
      <c r="F14" s="30">
        <v>229024</v>
      </c>
      <c r="G14" s="31">
        <v>2E-3</v>
      </c>
      <c r="H14" s="6" t="s">
        <v>122</v>
      </c>
      <c r="I14" s="6" t="s">
        <v>123</v>
      </c>
      <c r="J14" s="6">
        <f>SUMIF(Motion!$E$3:$E$32,$A14,Motion!$B$3:$B$32)+SUMIF(Vision!$E$3:$E$17,$A14,Vision!$B$3:$B$17)+SUMIF(Odometry!$E$3:$E$15,$A14,Odometry!$B$3:$B$15)</f>
        <v>1</v>
      </c>
      <c r="K14" s="6">
        <f>J14*Summary!$B$5</f>
        <v>5</v>
      </c>
      <c r="L14" s="6" t="str">
        <f>IF(F14&lt;K14,"SHORT",IF(F14&lt;Summary!$B$8,"Thin","OK"))</f>
        <v>OK</v>
      </c>
      <c r="M14" s="32" t="s">
        <v>173</v>
      </c>
    </row>
    <row r="15" spans="1:13" x14ac:dyDescent="0.25">
      <c r="A15" s="6" t="s">
        <v>174</v>
      </c>
      <c r="B15" s="6" t="s">
        <v>175</v>
      </c>
      <c r="C15" s="6" t="s">
        <v>155</v>
      </c>
      <c r="D15" s="6" t="s">
        <v>176</v>
      </c>
      <c r="E15" s="6" t="s">
        <v>129</v>
      </c>
      <c r="F15" s="30">
        <v>1512746</v>
      </c>
      <c r="G15" s="31">
        <v>9.1999999999999998E-3</v>
      </c>
      <c r="H15" s="6" t="s">
        <v>122</v>
      </c>
      <c r="I15" s="6" t="s">
        <v>142</v>
      </c>
      <c r="J15" s="6">
        <f>SUMIF(Motion!$E$3:$E$32,$A15,Motion!$B$3:$B$32)+SUMIF(Vision!$E$3:$E$17,$A15,Vision!$B$3:$B$17)+SUMIF(Odometry!$E$3:$E$15,$A15,Odometry!$B$3:$B$15)</f>
        <v>1</v>
      </c>
      <c r="K15" s="6">
        <f>J15*Summary!$B$5</f>
        <v>5</v>
      </c>
      <c r="L15" s="6" t="str">
        <f>IF(F15&lt;K15,"SHORT",IF(F15&lt;Summary!$B$8,"Thin","OK"))</f>
        <v>OK</v>
      </c>
      <c r="M15" s="32" t="s">
        <v>177</v>
      </c>
    </row>
    <row r="16" spans="1:13" x14ac:dyDescent="0.25">
      <c r="A16" s="6" t="s">
        <v>178</v>
      </c>
      <c r="B16" s="6" t="s">
        <v>179</v>
      </c>
      <c r="C16" s="6" t="s">
        <v>155</v>
      </c>
      <c r="D16" s="6" t="s">
        <v>180</v>
      </c>
      <c r="E16" s="6" t="s">
        <v>129</v>
      </c>
      <c r="F16" s="30">
        <v>6406298</v>
      </c>
      <c r="G16" s="31">
        <v>2.8999999999999998E-3</v>
      </c>
      <c r="H16" s="6" t="s">
        <v>122</v>
      </c>
      <c r="I16" s="6" t="s">
        <v>123</v>
      </c>
      <c r="J16" s="6">
        <f>SUMIF(Motion!$E$3:$E$32,$A16,Motion!$B$3:$B$32)+SUMIF(Vision!$E$3:$E$17,$A16,Vision!$B$3:$B$17)+SUMIF(Odometry!$E$3:$E$15,$A16,Odometry!$B$3:$B$15)</f>
        <v>2</v>
      </c>
      <c r="K16" s="6">
        <f>J16*Summary!$B$5</f>
        <v>10</v>
      </c>
      <c r="L16" s="6" t="str">
        <f>IF(F16&lt;K16,"SHORT",IF(F16&lt;Summary!$B$8,"Thin","OK"))</f>
        <v>OK</v>
      </c>
      <c r="M16" s="32" t="s">
        <v>181</v>
      </c>
    </row>
    <row r="17" spans="1:13" x14ac:dyDescent="0.25">
      <c r="A17" s="6" t="s">
        <v>182</v>
      </c>
      <c r="B17" s="6" t="s">
        <v>183</v>
      </c>
      <c r="C17" s="6" t="s">
        <v>155</v>
      </c>
      <c r="D17" s="6" t="s">
        <v>184</v>
      </c>
      <c r="E17" s="6" t="s">
        <v>129</v>
      </c>
      <c r="F17" s="30">
        <v>1612344</v>
      </c>
      <c r="G17" s="31">
        <v>3.8999999999999998E-3</v>
      </c>
      <c r="H17" s="6" t="s">
        <v>122</v>
      </c>
      <c r="I17" s="6" t="s">
        <v>123</v>
      </c>
      <c r="J17" s="6">
        <f>SUMIF(Motion!$E$3:$E$32,$A17,Motion!$B$3:$B$32)+SUMIF(Vision!$E$3:$E$17,$A17,Vision!$B$3:$B$17)+SUMIF(Odometry!$E$3:$E$15,$A17,Odometry!$B$3:$B$15)</f>
        <v>2</v>
      </c>
      <c r="K17" s="6">
        <f>J17*Summary!$B$5</f>
        <v>10</v>
      </c>
      <c r="L17" s="6" t="str">
        <f>IF(F17&lt;K17,"SHORT",IF(F17&lt;Summary!$B$8,"Thin","OK"))</f>
        <v>OK</v>
      </c>
      <c r="M17" s="32" t="s">
        <v>185</v>
      </c>
    </row>
    <row r="18" spans="1:13" x14ac:dyDescent="0.25">
      <c r="A18" s="6" t="s">
        <v>186</v>
      </c>
      <c r="B18" s="6" t="s">
        <v>187</v>
      </c>
      <c r="C18" s="6" t="s">
        <v>155</v>
      </c>
      <c r="D18" s="6" t="s">
        <v>188</v>
      </c>
      <c r="E18" s="6" t="s">
        <v>129</v>
      </c>
      <c r="F18" s="30">
        <v>8102286</v>
      </c>
      <c r="G18" s="31">
        <v>2.5999999999999999E-3</v>
      </c>
      <c r="H18" s="6" t="s">
        <v>122</v>
      </c>
      <c r="I18" s="6" t="s">
        <v>123</v>
      </c>
      <c r="J18" s="6">
        <f>SUMIF(Motion!$E$3:$E$32,$A18,Motion!$B$3:$B$32)+SUMIF(Vision!$E$3:$E$17,$A18,Vision!$B$3:$B$17)+SUMIF(Odometry!$E$3:$E$15,$A18,Odometry!$B$3:$B$15)</f>
        <v>2</v>
      </c>
      <c r="K18" s="6">
        <f>J18*Summary!$B$5</f>
        <v>10</v>
      </c>
      <c r="L18" s="6" t="str">
        <f>IF(F18&lt;K18,"SHORT",IF(F18&lt;Summary!$B$8,"Thin","OK"))</f>
        <v>OK</v>
      </c>
      <c r="M18" s="32" t="s">
        <v>189</v>
      </c>
    </row>
    <row r="19" spans="1:13" x14ac:dyDescent="0.25">
      <c r="A19" s="6" t="s">
        <v>190</v>
      </c>
      <c r="B19" s="6" t="s">
        <v>191</v>
      </c>
      <c r="C19" s="6" t="s">
        <v>155</v>
      </c>
      <c r="D19" s="6" t="s">
        <v>192</v>
      </c>
      <c r="E19" s="6" t="s">
        <v>129</v>
      </c>
      <c r="F19" s="30">
        <v>3167975</v>
      </c>
      <c r="G19" s="31">
        <v>2.5999999999999999E-3</v>
      </c>
      <c r="H19" s="6" t="s">
        <v>122</v>
      </c>
      <c r="I19" s="6" t="s">
        <v>123</v>
      </c>
      <c r="J19" s="6">
        <f>SUMIF(Motion!$E$3:$E$32,$A19,Motion!$B$3:$B$32)+SUMIF(Vision!$E$3:$E$17,$A19,Vision!$B$3:$B$17)+SUMIF(Odometry!$E$3:$E$15,$A19,Odometry!$B$3:$B$15)</f>
        <v>2</v>
      </c>
      <c r="K19" s="6">
        <f>J19*Summary!$B$5</f>
        <v>10</v>
      </c>
      <c r="L19" s="6" t="str">
        <f>IF(F19&lt;K19,"SHORT",IF(F19&lt;Summary!$B$8,"Thin","OK"))</f>
        <v>OK</v>
      </c>
      <c r="M19" s="32" t="s">
        <v>193</v>
      </c>
    </row>
    <row r="20" spans="1:13" x14ac:dyDescent="0.25">
      <c r="A20" s="6" t="s">
        <v>194</v>
      </c>
      <c r="B20" s="6" t="s">
        <v>195</v>
      </c>
      <c r="C20" s="6" t="s">
        <v>196</v>
      </c>
      <c r="D20" s="6" t="s">
        <v>197</v>
      </c>
      <c r="E20" s="6" t="s">
        <v>121</v>
      </c>
      <c r="F20" s="30">
        <v>79405</v>
      </c>
      <c r="G20" s="31">
        <v>4.7500000000000001E-2</v>
      </c>
      <c r="H20" s="6" t="s">
        <v>122</v>
      </c>
      <c r="I20" s="6" t="s">
        <v>123</v>
      </c>
      <c r="J20" s="6">
        <f>SUMIF(Motion!$E$3:$E$32,$A20,Motion!$B$3:$B$32)+SUMIF(Vision!$E$3:$E$17,$A20,Vision!$B$3:$B$17)+SUMIF(Odometry!$E$3:$E$15,$A20,Odometry!$B$3:$B$15)</f>
        <v>1</v>
      </c>
      <c r="K20" s="6">
        <f>J20*Summary!$B$5</f>
        <v>5</v>
      </c>
      <c r="L20" s="6" t="str">
        <f>IF(F20&lt;K20,"SHORT",IF(F20&lt;Summary!$B$8,"Thin","OK"))</f>
        <v>OK</v>
      </c>
      <c r="M20" s="32" t="s">
        <v>198</v>
      </c>
    </row>
    <row r="21" spans="1:13" x14ac:dyDescent="0.25">
      <c r="A21" s="6" t="s">
        <v>199</v>
      </c>
      <c r="B21" s="6" t="s">
        <v>200</v>
      </c>
      <c r="C21" s="6" t="s">
        <v>201</v>
      </c>
      <c r="D21" s="6" t="s">
        <v>202</v>
      </c>
      <c r="E21" s="6" t="s">
        <v>121</v>
      </c>
      <c r="F21" s="30">
        <v>94104</v>
      </c>
      <c r="G21" s="31">
        <v>2.5999999999999999E-3</v>
      </c>
      <c r="H21" s="6" t="s">
        <v>122</v>
      </c>
      <c r="I21" s="6" t="s">
        <v>123</v>
      </c>
      <c r="J21" s="6">
        <f>SUMIF(Motion!$E$3:$E$32,$A21,Motion!$B$3:$B$32)+SUMIF(Vision!$E$3:$E$17,$A21,Vision!$B$3:$B$17)+SUMIF(Odometry!$E$3:$E$15,$A21,Odometry!$B$3:$B$15)</f>
        <v>1</v>
      </c>
      <c r="K21" s="6">
        <f>J21*Summary!$B$5</f>
        <v>5</v>
      </c>
      <c r="L21" s="6" t="str">
        <f>IF(F21&lt;K21,"SHORT",IF(F21&lt;Summary!$B$8,"Thin","OK"))</f>
        <v>OK</v>
      </c>
      <c r="M21" s="32" t="s">
        <v>203</v>
      </c>
    </row>
    <row r="22" spans="1:13" x14ac:dyDescent="0.25">
      <c r="A22" s="6" t="s">
        <v>204</v>
      </c>
      <c r="B22" s="6" t="s">
        <v>205</v>
      </c>
      <c r="C22" s="6" t="s">
        <v>206</v>
      </c>
      <c r="D22" s="6" t="s">
        <v>207</v>
      </c>
      <c r="E22" s="6" t="s">
        <v>121</v>
      </c>
      <c r="F22" s="30">
        <v>995015</v>
      </c>
      <c r="G22" s="31">
        <v>7.4300000000000005E-2</v>
      </c>
      <c r="H22" s="6" t="s">
        <v>122</v>
      </c>
      <c r="I22" s="6" t="s">
        <v>123</v>
      </c>
      <c r="J22" s="6">
        <f>SUMIF(Motion!$E$3:$E$32,$A22,Motion!$B$3:$B$32)+SUMIF(Vision!$E$3:$E$17,$A22,Vision!$B$3:$B$17)+SUMIF(Odometry!$E$3:$E$15,$A22,Odometry!$B$3:$B$15)</f>
        <v>1</v>
      </c>
      <c r="K22" s="6">
        <f>J22*Summary!$B$5</f>
        <v>5</v>
      </c>
      <c r="L22" s="6" t="str">
        <f>IF(F22&lt;K22,"SHORT",IF(F22&lt;Summary!$B$8,"Thin","OK"))</f>
        <v>OK</v>
      </c>
      <c r="M22" s="32" t="s">
        <v>208</v>
      </c>
    </row>
    <row r="23" spans="1:13" x14ac:dyDescent="0.25">
      <c r="A23" s="6" t="s">
        <v>209</v>
      </c>
      <c r="B23" s="6" t="s">
        <v>210</v>
      </c>
      <c r="C23" s="6" t="s">
        <v>211</v>
      </c>
      <c r="D23" s="6" t="s">
        <v>212</v>
      </c>
      <c r="E23" s="6" t="s">
        <v>121</v>
      </c>
      <c r="F23" s="30">
        <v>473</v>
      </c>
      <c r="G23" s="31">
        <v>0.13550000000000001</v>
      </c>
      <c r="H23" s="6" t="s">
        <v>122</v>
      </c>
      <c r="I23" s="6" t="s">
        <v>142</v>
      </c>
      <c r="J23" s="6">
        <f>SUMIF(Motion!$E$3:$E$32,$A23,Motion!$B$3:$B$32)+SUMIF(Vision!$E$3:$E$17,$A23,Vision!$B$3:$B$17)+SUMIF(Odometry!$E$3:$E$15,$A23,Odometry!$B$3:$B$15)</f>
        <v>1</v>
      </c>
      <c r="K23" s="6">
        <f>J23*Summary!$B$5</f>
        <v>5</v>
      </c>
      <c r="L23" s="6" t="str">
        <f>IF(F23&lt;K23,"SHORT",IF(F23&lt;Summary!$B$8,"Thin","OK"))</f>
        <v>Thin</v>
      </c>
      <c r="M23" s="32" t="s">
        <v>213</v>
      </c>
    </row>
    <row r="24" spans="1:13" x14ac:dyDescent="0.25">
      <c r="A24" s="6" t="s">
        <v>214</v>
      </c>
      <c r="B24" s="6" t="s">
        <v>215</v>
      </c>
      <c r="C24" s="6" t="s">
        <v>216</v>
      </c>
      <c r="D24" s="6" t="s">
        <v>217</v>
      </c>
      <c r="E24" s="6" t="s">
        <v>121</v>
      </c>
      <c r="F24" s="30">
        <v>202425</v>
      </c>
      <c r="G24" s="31">
        <v>5.4000000000000003E-3</v>
      </c>
      <c r="H24" s="6" t="s">
        <v>122</v>
      </c>
      <c r="I24" s="6" t="s">
        <v>123</v>
      </c>
      <c r="J24" s="6">
        <f>SUMIF(Motion!$E$3:$E$32,$A24,Motion!$B$3:$B$32)+SUMIF(Vision!$E$3:$E$17,$A24,Vision!$B$3:$B$17)+SUMIF(Odometry!$E$3:$E$15,$A24,Odometry!$B$3:$B$15)</f>
        <v>4</v>
      </c>
      <c r="K24" s="6">
        <f>J24*Summary!$B$5</f>
        <v>20</v>
      </c>
      <c r="L24" s="6" t="str">
        <f>IF(F24&lt;K24,"SHORT",IF(F24&lt;Summary!$B$8,"Thin","OK"))</f>
        <v>OK</v>
      </c>
      <c r="M24" s="32" t="s">
        <v>218</v>
      </c>
    </row>
    <row r="25" spans="1:13" x14ac:dyDescent="0.25">
      <c r="A25" s="6" t="s">
        <v>219</v>
      </c>
      <c r="B25" s="6" t="s">
        <v>220</v>
      </c>
      <c r="C25" s="6" t="s">
        <v>221</v>
      </c>
      <c r="D25" s="6" t="s">
        <v>222</v>
      </c>
      <c r="E25" s="6" t="s">
        <v>121</v>
      </c>
      <c r="F25" s="30">
        <v>29773</v>
      </c>
      <c r="G25" s="31">
        <v>0.23960000000000001</v>
      </c>
      <c r="H25" s="6" t="s">
        <v>122</v>
      </c>
      <c r="I25" s="6" t="s">
        <v>123</v>
      </c>
      <c r="J25" s="6">
        <f>SUMIF(Motion!$E$3:$E$32,$A25,Motion!$B$3:$B$32)+SUMIF(Vision!$E$3:$E$17,$A25,Vision!$B$3:$B$17)+SUMIF(Odometry!$E$3:$E$15,$A25,Odometry!$B$3:$B$15)</f>
        <v>1</v>
      </c>
      <c r="K25" s="6">
        <f>J25*Summary!$B$5</f>
        <v>5</v>
      </c>
      <c r="L25" s="6" t="str">
        <f>IF(F25&lt;K25,"SHORT",IF(F25&lt;Summary!$B$8,"Thin","OK"))</f>
        <v>OK</v>
      </c>
      <c r="M25" s="32" t="s">
        <v>223</v>
      </c>
    </row>
    <row r="26" spans="1:13" x14ac:dyDescent="0.25">
      <c r="A26" s="6" t="s">
        <v>224</v>
      </c>
      <c r="B26" s="6" t="s">
        <v>225</v>
      </c>
      <c r="C26" s="6" t="s">
        <v>226</v>
      </c>
      <c r="D26" s="6" t="s">
        <v>227</v>
      </c>
      <c r="E26" s="6" t="s">
        <v>121</v>
      </c>
      <c r="F26" s="30">
        <v>46600</v>
      </c>
      <c r="G26" s="31">
        <v>0.13</v>
      </c>
      <c r="H26" s="6" t="s">
        <v>122</v>
      </c>
      <c r="I26" s="6" t="s">
        <v>123</v>
      </c>
      <c r="J26" s="6">
        <f>SUMIF(Motion!$E$3:$E$32,$A26,Motion!$B$3:$B$32)+SUMIF(Vision!$E$3:$E$17,$A26,Vision!$B$3:$B$17)+SUMIF(Odometry!$E$3:$E$15,$A26,Odometry!$B$3:$B$15)</f>
        <v>4</v>
      </c>
      <c r="K26" s="6">
        <f>J26*Summary!$B$5</f>
        <v>20</v>
      </c>
      <c r="L26" s="6" t="str">
        <f>IF(F26&lt;K26,"SHORT",IF(F26&lt;Summary!$B$8,"Thin","OK"))</f>
        <v>OK</v>
      </c>
      <c r="M26" s="32" t="s">
        <v>228</v>
      </c>
    </row>
    <row r="27" spans="1:13" x14ac:dyDescent="0.25">
      <c r="A27" s="6" t="s">
        <v>229</v>
      </c>
      <c r="B27" s="6" t="s">
        <v>230</v>
      </c>
      <c r="C27" s="6" t="s">
        <v>226</v>
      </c>
      <c r="D27" s="6" t="s">
        <v>231</v>
      </c>
      <c r="E27" s="6" t="s">
        <v>121</v>
      </c>
      <c r="F27" s="30">
        <v>15257</v>
      </c>
      <c r="G27" s="31">
        <v>0.1467</v>
      </c>
      <c r="H27" s="6" t="s">
        <v>122</v>
      </c>
      <c r="I27" s="6" t="s">
        <v>123</v>
      </c>
      <c r="J27" s="6">
        <f>SUMIF(Motion!$E$3:$E$32,$A27,Motion!$B$3:$B$32)+SUMIF(Vision!$E$3:$E$17,$A27,Vision!$B$3:$B$17)+SUMIF(Odometry!$E$3:$E$15,$A27,Odometry!$B$3:$B$15)</f>
        <v>1</v>
      </c>
      <c r="K27" s="6">
        <f>J27*Summary!$B$5</f>
        <v>5</v>
      </c>
      <c r="L27" s="6" t="str">
        <f>IF(F27&lt;K27,"SHORT",IF(F27&lt;Summary!$B$8,"Thin","OK"))</f>
        <v>OK</v>
      </c>
      <c r="M27" s="32" t="s">
        <v>232</v>
      </c>
    </row>
    <row r="28" spans="1:13" x14ac:dyDescent="0.25">
      <c r="A28" s="6" t="s">
        <v>233</v>
      </c>
      <c r="B28" s="6" t="s">
        <v>234</v>
      </c>
      <c r="C28" s="6" t="s">
        <v>226</v>
      </c>
      <c r="D28" s="6" t="s">
        <v>235</v>
      </c>
      <c r="E28" s="6" t="s">
        <v>121</v>
      </c>
      <c r="F28" s="30">
        <v>1796</v>
      </c>
      <c r="G28" s="31">
        <v>0.21640000000000001</v>
      </c>
      <c r="H28" s="6" t="s">
        <v>122</v>
      </c>
      <c r="I28" s="6" t="s">
        <v>123</v>
      </c>
      <c r="J28" s="6">
        <f>SUMIF(Motion!$E$3:$E$32,$A28,Motion!$B$3:$B$32)+SUMIF(Vision!$E$3:$E$17,$A28,Vision!$B$3:$B$17)+SUMIF(Odometry!$E$3:$E$15,$A28,Odometry!$B$3:$B$15)</f>
        <v>2</v>
      </c>
      <c r="K28" s="6">
        <f>J28*Summary!$B$5</f>
        <v>10</v>
      </c>
      <c r="L28" s="6" t="str">
        <f>IF(F28&lt;K28,"SHORT",IF(F28&lt;Summary!$B$8,"Thin","OK"))</f>
        <v>Thin</v>
      </c>
      <c r="M28" s="32" t="s">
        <v>236</v>
      </c>
    </row>
    <row r="29" spans="1:13" x14ac:dyDescent="0.25">
      <c r="A29" s="6" t="s">
        <v>237</v>
      </c>
      <c r="B29" s="6" t="s">
        <v>238</v>
      </c>
      <c r="C29" s="6" t="s">
        <v>226</v>
      </c>
      <c r="D29" s="6" t="s">
        <v>239</v>
      </c>
      <c r="E29" s="6" t="s">
        <v>121</v>
      </c>
      <c r="F29" s="30">
        <v>78982</v>
      </c>
      <c r="G29" s="31">
        <v>0.12429999999999999</v>
      </c>
      <c r="H29" s="6" t="s">
        <v>122</v>
      </c>
      <c r="I29" s="6" t="s">
        <v>142</v>
      </c>
      <c r="J29" s="6">
        <f>SUMIF(Motion!$E$3:$E$32,$A29,Motion!$B$3:$B$32)+SUMIF(Vision!$E$3:$E$17,$A29,Vision!$B$3:$B$17)+SUMIF(Odometry!$E$3:$E$15,$A29,Odometry!$B$3:$B$15)</f>
        <v>2</v>
      </c>
      <c r="K29" s="6">
        <f>J29*Summary!$B$5</f>
        <v>10</v>
      </c>
      <c r="L29" s="6" t="str">
        <f>IF(F29&lt;K29,"SHORT",IF(F29&lt;Summary!$B$8,"Thin","OK"))</f>
        <v>OK</v>
      </c>
      <c r="M29" s="32" t="s">
        <v>240</v>
      </c>
    </row>
    <row r="30" spans="1:13" x14ac:dyDescent="0.25">
      <c r="A30" s="6" t="s">
        <v>241</v>
      </c>
      <c r="B30" s="6" t="s">
        <v>242</v>
      </c>
      <c r="C30" s="6" t="s">
        <v>226</v>
      </c>
      <c r="D30" s="6" t="s">
        <v>243</v>
      </c>
      <c r="E30" s="6" t="s">
        <v>121</v>
      </c>
      <c r="F30" s="30">
        <v>32531</v>
      </c>
      <c r="G30" s="31">
        <v>0.1605</v>
      </c>
      <c r="H30" s="6" t="s">
        <v>122</v>
      </c>
      <c r="I30" s="6" t="s">
        <v>142</v>
      </c>
      <c r="J30" s="6">
        <f>SUMIF(Motion!$E$3:$E$32,$A30,Motion!$B$3:$B$32)+SUMIF(Vision!$E$3:$E$17,$A30,Vision!$B$3:$B$17)+SUMIF(Odometry!$E$3:$E$15,$A30,Odometry!$B$3:$B$15)</f>
        <v>1</v>
      </c>
      <c r="K30" s="6">
        <f>J30*Summary!$B$5</f>
        <v>5</v>
      </c>
      <c r="L30" s="6" t="str">
        <f>IF(F30&lt;K30,"SHORT",IF(F30&lt;Summary!$B$8,"Thin","OK"))</f>
        <v>OK</v>
      </c>
      <c r="M30" s="32" t="s">
        <v>244</v>
      </c>
    </row>
    <row r="31" spans="1:13" x14ac:dyDescent="0.25">
      <c r="A31" s="6" t="s">
        <v>245</v>
      </c>
      <c r="B31" s="6" t="s">
        <v>246</v>
      </c>
      <c r="C31" s="6" t="s">
        <v>247</v>
      </c>
      <c r="D31" s="6" t="s">
        <v>248</v>
      </c>
      <c r="E31" s="6" t="s">
        <v>129</v>
      </c>
      <c r="F31" s="30">
        <v>761776</v>
      </c>
      <c r="G31" s="31">
        <v>0.1714</v>
      </c>
      <c r="H31" s="6" t="s">
        <v>122</v>
      </c>
      <c r="I31" s="6" t="s">
        <v>123</v>
      </c>
      <c r="J31" s="6">
        <f>SUMIF(Motion!$E$3:$E$32,$A31,Motion!$B$3:$B$32)+SUMIF(Vision!$E$3:$E$17,$A31,Vision!$B$3:$B$17)+SUMIF(Odometry!$E$3:$E$15,$A31,Odometry!$B$3:$B$15)</f>
        <v>1</v>
      </c>
      <c r="K31" s="6">
        <f>J31*Summary!$B$5</f>
        <v>5</v>
      </c>
      <c r="L31" s="6" t="str">
        <f>IF(F31&lt;K31,"SHORT",IF(F31&lt;Summary!$B$8,"Thin","OK"))</f>
        <v>OK</v>
      </c>
      <c r="M31" s="32" t="s">
        <v>249</v>
      </c>
    </row>
    <row r="32" spans="1:13" x14ac:dyDescent="0.25">
      <c r="A32" s="6" t="s">
        <v>250</v>
      </c>
      <c r="B32" s="6" t="s">
        <v>251</v>
      </c>
      <c r="C32" s="6" t="s">
        <v>252</v>
      </c>
      <c r="D32" s="6" t="s">
        <v>253</v>
      </c>
      <c r="E32" s="6" t="s">
        <v>121</v>
      </c>
      <c r="F32" s="30">
        <v>28583</v>
      </c>
      <c r="G32" s="31">
        <v>6.1899999999999997E-2</v>
      </c>
      <c r="H32" s="6" t="s">
        <v>122</v>
      </c>
      <c r="I32" s="6" t="s">
        <v>123</v>
      </c>
      <c r="J32" s="6">
        <f>SUMIF(Motion!$E$3:$E$32,$A32,Motion!$B$3:$B$32)+SUMIF(Vision!$E$3:$E$17,$A32,Vision!$B$3:$B$17)+SUMIF(Odometry!$E$3:$E$15,$A32,Odometry!$B$3:$B$15)</f>
        <v>3</v>
      </c>
      <c r="K32" s="6">
        <f>J32*Summary!$B$5</f>
        <v>15</v>
      </c>
      <c r="L32" s="6" t="str">
        <f>IF(F32&lt;K32,"SHORT",IF(F32&lt;Summary!$B$8,"Thin","OK"))</f>
        <v>OK</v>
      </c>
      <c r="M32" s="32" t="s">
        <v>254</v>
      </c>
    </row>
    <row r="33" spans="1:13" x14ac:dyDescent="0.25">
      <c r="A33" s="6" t="s">
        <v>255</v>
      </c>
      <c r="B33" s="6" t="s">
        <v>256</v>
      </c>
      <c r="C33" s="6" t="s">
        <v>257</v>
      </c>
      <c r="D33" s="6" t="s">
        <v>258</v>
      </c>
      <c r="E33" s="6" t="s">
        <v>121</v>
      </c>
      <c r="F33" s="30">
        <v>33271</v>
      </c>
      <c r="G33" s="31">
        <v>0.15240000000000001</v>
      </c>
      <c r="H33" s="6" t="s">
        <v>122</v>
      </c>
      <c r="I33" s="6" t="s">
        <v>123</v>
      </c>
      <c r="J33" s="6">
        <f>SUMIF(Motion!$E$3:$E$32,$A33,Motion!$B$3:$B$32)+SUMIF(Vision!$E$3:$E$17,$A33,Vision!$B$3:$B$17)+SUMIF(Odometry!$E$3:$E$15,$A33,Odometry!$B$3:$B$15)</f>
        <v>1</v>
      </c>
      <c r="K33" s="6">
        <f>J33*Summary!$B$5</f>
        <v>5</v>
      </c>
      <c r="L33" s="6" t="str">
        <f>IF(F33&lt;K33,"SHORT",IF(F33&lt;Summary!$B$8,"Thin","OK"))</f>
        <v>OK</v>
      </c>
      <c r="M33" s="32" t="s">
        <v>259</v>
      </c>
    </row>
    <row r="34" spans="1:13" x14ac:dyDescent="0.25">
      <c r="A34" s="6" t="s">
        <v>260</v>
      </c>
      <c r="B34" s="6" t="s">
        <v>261</v>
      </c>
      <c r="C34" s="6" t="s">
        <v>155</v>
      </c>
      <c r="D34" s="6" t="s">
        <v>262</v>
      </c>
      <c r="E34" s="6" t="s">
        <v>129</v>
      </c>
      <c r="F34" s="30">
        <v>8265751</v>
      </c>
      <c r="G34" s="31">
        <v>2.8999999999999998E-3</v>
      </c>
      <c r="H34" s="6" t="s">
        <v>122</v>
      </c>
      <c r="I34" s="6" t="s">
        <v>123</v>
      </c>
      <c r="J34" s="6">
        <f>SUMIF(Motion!$E$3:$E$32,$A34,Motion!$B$3:$B$32)+SUMIF(Vision!$E$3:$E$17,$A34,Vision!$B$3:$B$17)+SUMIF(Odometry!$E$3:$E$15,$A34,Odometry!$B$3:$B$15)</f>
        <v>1</v>
      </c>
      <c r="K34" s="6">
        <f>J34*Summary!$B$5</f>
        <v>5</v>
      </c>
      <c r="L34" s="6" t="str">
        <f>IF(F34&lt;K34,"SHORT",IF(F34&lt;Summary!$B$8,"Thin","OK"))</f>
        <v>OK</v>
      </c>
      <c r="M34" s="32" t="s">
        <v>263</v>
      </c>
    </row>
    <row r="35" spans="1:13" x14ac:dyDescent="0.25">
      <c r="A35" s="6" t="s">
        <v>264</v>
      </c>
      <c r="B35" s="6" t="s">
        <v>265</v>
      </c>
      <c r="C35" s="6" t="s">
        <v>206</v>
      </c>
      <c r="D35" s="6" t="s">
        <v>266</v>
      </c>
      <c r="E35" s="6" t="s">
        <v>121</v>
      </c>
      <c r="F35" s="30">
        <v>150031</v>
      </c>
      <c r="G35" s="31">
        <v>5.6599999999999998E-2</v>
      </c>
      <c r="H35" s="6" t="s">
        <v>122</v>
      </c>
      <c r="I35" s="6" t="s">
        <v>123</v>
      </c>
      <c r="J35" s="6">
        <f>SUMIF(Motion!$E$3:$E$32,$A35,Motion!$B$3:$B$32)+SUMIF(Vision!$E$3:$E$17,$A35,Vision!$B$3:$B$17)+SUMIF(Odometry!$E$3:$E$15,$A35,Odometry!$B$3:$B$15)</f>
        <v>1</v>
      </c>
      <c r="K35" s="6">
        <f>J35*Summary!$B$5</f>
        <v>5</v>
      </c>
      <c r="L35" s="6" t="str">
        <f>IF(F35&lt;K35,"SHORT",IF(F35&lt;Summary!$B$8,"Thin","OK"))</f>
        <v>OK</v>
      </c>
      <c r="M35" s="32" t="s">
        <v>267</v>
      </c>
    </row>
    <row r="36" spans="1:13" x14ac:dyDescent="0.25">
      <c r="A36" s="6" t="s">
        <v>268</v>
      </c>
      <c r="B36" s="6" t="s">
        <v>269</v>
      </c>
      <c r="C36" s="6" t="s">
        <v>127</v>
      </c>
      <c r="D36" s="6" t="s">
        <v>270</v>
      </c>
      <c r="E36" s="6" t="s">
        <v>129</v>
      </c>
      <c r="F36" s="30">
        <v>5276598</v>
      </c>
      <c r="G36" s="31">
        <v>0.2492</v>
      </c>
      <c r="H36" s="6" t="s">
        <v>122</v>
      </c>
      <c r="I36" s="6" t="s">
        <v>123</v>
      </c>
      <c r="J36" s="6">
        <f>SUMIF(Motion!$E$3:$E$32,$A36,Motion!$B$3:$B$32)+SUMIF(Vision!$E$3:$E$17,$A36,Vision!$B$3:$B$17)+SUMIF(Odometry!$E$3:$E$15,$A36,Odometry!$B$3:$B$15)</f>
        <v>5</v>
      </c>
      <c r="K36" s="6">
        <f>J36*Summary!$B$5</f>
        <v>25</v>
      </c>
      <c r="L36" s="6" t="str">
        <f>IF(F36&lt;K36,"SHORT",IF(F36&lt;Summary!$B$8,"Thin","OK"))</f>
        <v>OK</v>
      </c>
      <c r="M36" s="32" t="s">
        <v>271</v>
      </c>
    </row>
    <row r="37" spans="1:13" x14ac:dyDescent="0.25">
      <c r="A37" s="6" t="s">
        <v>272</v>
      </c>
      <c r="B37" s="6" t="s">
        <v>273</v>
      </c>
      <c r="C37" s="6" t="s">
        <v>127</v>
      </c>
      <c r="D37" s="6" t="s">
        <v>274</v>
      </c>
      <c r="E37" s="6" t="s">
        <v>129</v>
      </c>
      <c r="F37" s="30">
        <v>10724896</v>
      </c>
      <c r="G37" s="31">
        <v>1.21E-2</v>
      </c>
      <c r="H37" s="6" t="s">
        <v>122</v>
      </c>
      <c r="I37" s="6" t="s">
        <v>123</v>
      </c>
      <c r="J37" s="6">
        <f>SUMIF(Motion!$E$3:$E$32,$A37,Motion!$B$3:$B$32)+SUMIF(Vision!$E$3:$E$17,$A37,Vision!$B$3:$B$17)+SUMIF(Odometry!$E$3:$E$15,$A37,Odometry!$B$3:$B$15)</f>
        <v>7</v>
      </c>
      <c r="K37" s="6">
        <f>J37*Summary!$B$5</f>
        <v>35</v>
      </c>
      <c r="L37" s="6" t="str">
        <f>IF(F37&lt;K37,"SHORT",IF(F37&lt;Summary!$B$8,"Thin","OK"))</f>
        <v>OK</v>
      </c>
      <c r="M37" s="32" t="s">
        <v>275</v>
      </c>
    </row>
    <row r="38" spans="1:13" x14ac:dyDescent="0.25">
      <c r="A38" s="6" t="s">
        <v>276</v>
      </c>
      <c r="B38" s="6" t="s">
        <v>277</v>
      </c>
      <c r="C38" s="6" t="s">
        <v>278</v>
      </c>
      <c r="D38" s="6" t="s">
        <v>279</v>
      </c>
      <c r="E38" s="6" t="s">
        <v>121</v>
      </c>
      <c r="F38" s="30">
        <v>2234</v>
      </c>
      <c r="G38" s="31">
        <v>0.51819999999999999</v>
      </c>
      <c r="H38" s="6" t="s">
        <v>122</v>
      </c>
      <c r="I38" s="6" t="s">
        <v>123</v>
      </c>
      <c r="J38" s="6">
        <f>SUMIF(Motion!$E$3:$E$32,$A38,Motion!$B$3:$B$32)+SUMIF(Vision!$E$3:$E$17,$A38,Vision!$B$3:$B$17)+SUMIF(Odometry!$E$3:$E$15,$A38,Odometry!$B$3:$B$15)</f>
        <v>1</v>
      </c>
      <c r="K38" s="6">
        <f>J38*Summary!$B$5</f>
        <v>5</v>
      </c>
      <c r="L38" s="6" t="str">
        <f>IF(F38&lt;K38,"SHORT",IF(F38&lt;Summary!$B$8,"Thin","OK"))</f>
        <v>Thin</v>
      </c>
      <c r="M38" s="32" t="s">
        <v>280</v>
      </c>
    </row>
    <row r="39" spans="1:13" x14ac:dyDescent="0.25">
      <c r="A39" s="6" t="s">
        <v>281</v>
      </c>
      <c r="B39" s="6" t="s">
        <v>282</v>
      </c>
      <c r="C39" s="6" t="s">
        <v>283</v>
      </c>
      <c r="D39" s="6" t="s">
        <v>284</v>
      </c>
      <c r="E39" s="6" t="s">
        <v>121</v>
      </c>
      <c r="F39" s="30">
        <v>263367</v>
      </c>
      <c r="G39" s="31">
        <v>2.7799999999999998E-2</v>
      </c>
      <c r="H39" s="6" t="s">
        <v>122</v>
      </c>
      <c r="I39" s="6" t="s">
        <v>123</v>
      </c>
      <c r="J39" s="6">
        <f>SUMIF(Motion!$E$3:$E$32,$A39,Motion!$B$3:$B$32)+SUMIF(Vision!$E$3:$E$17,$A39,Vision!$B$3:$B$17)+SUMIF(Odometry!$E$3:$E$15,$A39,Odometry!$B$3:$B$15)</f>
        <v>1</v>
      </c>
      <c r="K39" s="6">
        <f>J39*Summary!$B$5</f>
        <v>5</v>
      </c>
      <c r="L39" s="6" t="str">
        <f>IF(F39&lt;K39,"SHORT",IF(F39&lt;Summary!$B$8,"Thin","OK"))</f>
        <v>OK</v>
      </c>
      <c r="M39" s="32" t="s">
        <v>285</v>
      </c>
    </row>
    <row r="40" spans="1:13" x14ac:dyDescent="0.25">
      <c r="A40" s="6" t="s">
        <v>286</v>
      </c>
      <c r="B40" s="6" t="s">
        <v>287</v>
      </c>
      <c r="C40" s="6" t="s">
        <v>288</v>
      </c>
      <c r="D40" s="6" t="s">
        <v>289</v>
      </c>
      <c r="E40" s="6" t="s">
        <v>121</v>
      </c>
      <c r="F40" s="30">
        <v>147504</v>
      </c>
      <c r="G40" s="31">
        <v>0.4874</v>
      </c>
      <c r="H40" s="6" t="s">
        <v>122</v>
      </c>
      <c r="I40" s="6" t="s">
        <v>123</v>
      </c>
      <c r="J40" s="6">
        <f>SUMIF(Motion!$E$3:$E$32,$A40,Motion!$B$3:$B$32)+SUMIF(Vision!$E$3:$E$17,$A40,Vision!$B$3:$B$17)+SUMIF(Odometry!$E$3:$E$15,$A40,Odometry!$B$3:$B$15)</f>
        <v>1</v>
      </c>
      <c r="K40" s="6">
        <f>J40*Summary!$B$5</f>
        <v>5</v>
      </c>
      <c r="L40" s="6" t="str">
        <f>IF(F40&lt;K40,"SHORT",IF(F40&lt;Summary!$B$8,"Thin","OK"))</f>
        <v>OK</v>
      </c>
      <c r="M40" s="32" t="s">
        <v>290</v>
      </c>
    </row>
    <row r="41" spans="1:13" x14ac:dyDescent="0.25">
      <c r="A41" s="6" t="s">
        <v>291</v>
      </c>
      <c r="B41" s="6" t="s">
        <v>292</v>
      </c>
      <c r="C41" s="6" t="s">
        <v>293</v>
      </c>
      <c r="D41" s="6" t="s">
        <v>294</v>
      </c>
      <c r="E41" s="6" t="s">
        <v>121</v>
      </c>
      <c r="F41" s="30">
        <v>25261</v>
      </c>
      <c r="G41" s="31">
        <v>2.5100000000000001E-2</v>
      </c>
      <c r="H41" s="6" t="s">
        <v>122</v>
      </c>
      <c r="I41" s="6" t="s">
        <v>123</v>
      </c>
      <c r="J41" s="6">
        <f>SUMIF(Motion!$E$3:$E$32,$A41,Motion!$B$3:$B$32)+SUMIF(Vision!$E$3:$E$17,$A41,Vision!$B$3:$B$17)+SUMIF(Odometry!$E$3:$E$15,$A41,Odometry!$B$3:$B$15)</f>
        <v>2</v>
      </c>
      <c r="K41" s="6">
        <f>J41*Summary!$B$5</f>
        <v>10</v>
      </c>
      <c r="L41" s="6" t="str">
        <f>IF(F41&lt;K41,"SHORT",IF(F41&lt;Summary!$B$8,"Thin","OK"))</f>
        <v>OK</v>
      </c>
      <c r="M41" s="32" t="s">
        <v>295</v>
      </c>
    </row>
    <row r="42" spans="1:13" x14ac:dyDescent="0.25">
      <c r="A42" s="6" t="s">
        <v>296</v>
      </c>
      <c r="B42" s="6" t="s">
        <v>297</v>
      </c>
      <c r="C42" s="6" t="s">
        <v>298</v>
      </c>
      <c r="D42" s="6" t="s">
        <v>299</v>
      </c>
      <c r="E42" s="6" t="s">
        <v>121</v>
      </c>
      <c r="F42" s="30">
        <v>8957</v>
      </c>
      <c r="G42" s="31">
        <v>9.3239000000000001</v>
      </c>
      <c r="H42" s="6" t="s">
        <v>122</v>
      </c>
      <c r="I42" s="6" t="s">
        <v>123</v>
      </c>
      <c r="J42" s="6">
        <f>SUMIF(Motion!$E$3:$E$32,$A42,Motion!$B$3:$B$32)+SUMIF(Vision!$E$3:$E$17,$A42,Vision!$B$3:$B$17)+SUMIF(Odometry!$E$3:$E$15,$A42,Odometry!$B$3:$B$15)</f>
        <v>1</v>
      </c>
      <c r="K42" s="6">
        <f>J42*Summary!$B$5</f>
        <v>5</v>
      </c>
      <c r="L42" s="6" t="str">
        <f>IF(F42&lt;K42,"SHORT",IF(F42&lt;Summary!$B$8,"Thin","OK"))</f>
        <v>OK</v>
      </c>
      <c r="M42" s="32" t="s">
        <v>300</v>
      </c>
    </row>
    <row r="43" spans="1:13" x14ac:dyDescent="0.25">
      <c r="A43" s="6" t="s">
        <v>301</v>
      </c>
      <c r="B43" s="6" t="s">
        <v>302</v>
      </c>
      <c r="C43" s="6" t="s">
        <v>257</v>
      </c>
      <c r="D43" s="6" t="s">
        <v>303</v>
      </c>
      <c r="E43" s="6" t="s">
        <v>121</v>
      </c>
      <c r="F43" s="30">
        <v>73099</v>
      </c>
      <c r="G43" s="31">
        <v>1.66E-2</v>
      </c>
      <c r="H43" s="6" t="s">
        <v>122</v>
      </c>
      <c r="I43" s="6" t="s">
        <v>123</v>
      </c>
      <c r="J43" s="6">
        <f>SUMIF(Motion!$E$3:$E$32,$A43,Motion!$B$3:$B$32)+SUMIF(Vision!$E$3:$E$17,$A43,Vision!$B$3:$B$17)+SUMIF(Odometry!$E$3:$E$15,$A43,Odometry!$B$3:$B$15)</f>
        <v>1</v>
      </c>
      <c r="K43" s="6">
        <f>J43*Summary!$B$5</f>
        <v>5</v>
      </c>
      <c r="L43" s="6" t="str">
        <f>IF(F43&lt;K43,"SHORT",IF(F43&lt;Summary!$B$8,"Thin","OK"))</f>
        <v>OK</v>
      </c>
      <c r="M43" s="32" t="s">
        <v>304</v>
      </c>
    </row>
    <row r="44" spans="1:13" x14ac:dyDescent="0.25">
      <c r="A44" s="6" t="s">
        <v>305</v>
      </c>
      <c r="B44" s="6" t="s">
        <v>306</v>
      </c>
      <c r="C44" s="6" t="s">
        <v>307</v>
      </c>
      <c r="D44" s="6" t="s">
        <v>308</v>
      </c>
      <c r="E44" s="6" t="s">
        <v>121</v>
      </c>
      <c r="F44" s="30">
        <v>50060</v>
      </c>
      <c r="G44" s="31">
        <v>0.12690000000000001</v>
      </c>
      <c r="H44" s="6" t="s">
        <v>122</v>
      </c>
      <c r="I44" s="6" t="s">
        <v>123</v>
      </c>
      <c r="J44" s="6">
        <f>SUMIF(Motion!$E$3:$E$32,$A44,Motion!$B$3:$B$32)+SUMIF(Vision!$E$3:$E$17,$A44,Vision!$B$3:$B$17)+SUMIF(Odometry!$E$3:$E$15,$A44,Odometry!$B$3:$B$15)</f>
        <v>1</v>
      </c>
      <c r="K44" s="6">
        <f>J44*Summary!$B$5</f>
        <v>5</v>
      </c>
      <c r="L44" s="6" t="str">
        <f>IF(F44&lt;K44,"SHORT",IF(F44&lt;Summary!$B$8,"Thin","OK"))</f>
        <v>OK</v>
      </c>
      <c r="M44" s="32" t="s">
        <v>309</v>
      </c>
    </row>
  </sheetData>
  <hyperlinks>
    <hyperlink ref="M3" r:id="rId1" xr:uid="{00000000-0004-0000-0200-000000000000}"/>
    <hyperlink ref="M4" r:id="rId2" xr:uid="{00000000-0004-0000-0200-000001000000}"/>
    <hyperlink ref="M5" r:id="rId3" xr:uid="{00000000-0004-0000-0200-000002000000}"/>
    <hyperlink ref="M6" r:id="rId4" xr:uid="{00000000-0004-0000-0200-000003000000}"/>
    <hyperlink ref="M7" r:id="rId5" xr:uid="{00000000-0004-0000-0200-000004000000}"/>
    <hyperlink ref="M8" r:id="rId6" xr:uid="{00000000-0004-0000-0200-000005000000}"/>
    <hyperlink ref="M9" r:id="rId7" xr:uid="{00000000-0004-0000-0200-000006000000}"/>
    <hyperlink ref="M10" r:id="rId8" xr:uid="{00000000-0004-0000-0200-000007000000}"/>
    <hyperlink ref="M11" r:id="rId9" xr:uid="{00000000-0004-0000-0200-000008000000}"/>
    <hyperlink ref="M12" r:id="rId10" xr:uid="{00000000-0004-0000-0200-000009000000}"/>
    <hyperlink ref="M13" r:id="rId11" xr:uid="{00000000-0004-0000-0200-00000A000000}"/>
    <hyperlink ref="M14" r:id="rId12" xr:uid="{00000000-0004-0000-0200-00000B000000}"/>
    <hyperlink ref="M15" r:id="rId13" xr:uid="{00000000-0004-0000-0200-00000C000000}"/>
    <hyperlink ref="M16" r:id="rId14" xr:uid="{00000000-0004-0000-0200-00000D000000}"/>
    <hyperlink ref="M17" r:id="rId15" xr:uid="{00000000-0004-0000-0200-00000E000000}"/>
    <hyperlink ref="M18" r:id="rId16" xr:uid="{00000000-0004-0000-0200-00000F000000}"/>
    <hyperlink ref="M19" r:id="rId17" xr:uid="{00000000-0004-0000-0200-000010000000}"/>
    <hyperlink ref="M20" r:id="rId18" xr:uid="{00000000-0004-0000-0200-000011000000}"/>
    <hyperlink ref="M21" r:id="rId19" xr:uid="{00000000-0004-0000-0200-000012000000}"/>
    <hyperlink ref="M22" r:id="rId20" xr:uid="{00000000-0004-0000-0200-000013000000}"/>
    <hyperlink ref="M23" r:id="rId21" xr:uid="{00000000-0004-0000-0200-000014000000}"/>
    <hyperlink ref="M24" r:id="rId22" xr:uid="{00000000-0004-0000-0200-000015000000}"/>
    <hyperlink ref="M25" r:id="rId23" xr:uid="{00000000-0004-0000-0200-000016000000}"/>
    <hyperlink ref="M26" r:id="rId24" xr:uid="{00000000-0004-0000-0200-000017000000}"/>
    <hyperlink ref="M27" r:id="rId25" xr:uid="{00000000-0004-0000-0200-000018000000}"/>
    <hyperlink ref="M28" r:id="rId26" xr:uid="{00000000-0004-0000-0200-000019000000}"/>
    <hyperlink ref="M29" r:id="rId27" xr:uid="{00000000-0004-0000-0200-00001A000000}"/>
    <hyperlink ref="M30" r:id="rId28" xr:uid="{00000000-0004-0000-0200-00001B000000}"/>
    <hyperlink ref="M31" r:id="rId29" xr:uid="{00000000-0004-0000-0200-00001C000000}"/>
    <hyperlink ref="M32" r:id="rId30" xr:uid="{00000000-0004-0000-0200-00001D000000}"/>
    <hyperlink ref="M33" r:id="rId31" xr:uid="{00000000-0004-0000-0200-00001E000000}"/>
    <hyperlink ref="M34" r:id="rId32" xr:uid="{00000000-0004-0000-0200-00001F000000}"/>
    <hyperlink ref="M35" r:id="rId33" xr:uid="{00000000-0004-0000-0200-000020000000}"/>
    <hyperlink ref="M36" r:id="rId34" xr:uid="{00000000-0004-0000-0200-000021000000}"/>
    <hyperlink ref="M37" r:id="rId35" xr:uid="{00000000-0004-0000-0200-000022000000}"/>
    <hyperlink ref="M38" r:id="rId36" xr:uid="{00000000-0004-0000-0200-000023000000}"/>
    <hyperlink ref="M39" r:id="rId37" xr:uid="{00000000-0004-0000-0200-000024000000}"/>
    <hyperlink ref="M40" r:id="rId38" xr:uid="{00000000-0004-0000-0200-000025000000}"/>
    <hyperlink ref="M41" r:id="rId39" xr:uid="{00000000-0004-0000-0200-000026000000}"/>
    <hyperlink ref="M42" r:id="rId40" xr:uid="{00000000-0004-0000-0200-000027000000}"/>
    <hyperlink ref="M43" r:id="rId41" xr:uid="{00000000-0004-0000-0200-000028000000}"/>
    <hyperlink ref="M44" r:id="rId42" xr:uid="{00000000-0004-0000-0200-000029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6" customWidth="1"/>
    <col min="3" max="3" width="22" customWidth="1"/>
    <col min="4" max="4" width="52" customWidth="1"/>
    <col min="5" max="5" width="11" customWidth="1"/>
    <col min="6" max="6" width="24" customWidth="1"/>
    <col min="7" max="7" width="10" customWidth="1"/>
    <col min="8" max="8" width="12" customWidth="1"/>
    <col min="9" max="10" width="14" customWidth="1"/>
    <col min="11" max="11" width="44" customWidth="1"/>
    <col min="12" max="12" width="13" customWidth="1"/>
    <col min="13" max="13" width="60" customWidth="1"/>
  </cols>
  <sheetData>
    <row r="1" spans="1:13" x14ac:dyDescent="0.25">
      <c r="A1" s="2" t="s">
        <v>310</v>
      </c>
    </row>
    <row r="2" spans="1:13" ht="25.5" x14ac:dyDescent="0.25">
      <c r="A2" s="5" t="s">
        <v>311</v>
      </c>
      <c r="B2" s="5" t="s">
        <v>312</v>
      </c>
      <c r="C2" s="5" t="s">
        <v>313</v>
      </c>
      <c r="D2" s="5" t="s">
        <v>314</v>
      </c>
      <c r="E2" s="5" t="s">
        <v>105</v>
      </c>
      <c r="F2" s="5" t="s">
        <v>106</v>
      </c>
      <c r="G2" s="5" t="s">
        <v>109</v>
      </c>
      <c r="H2" s="5" t="s">
        <v>110</v>
      </c>
      <c r="I2" s="5" t="s">
        <v>77</v>
      </c>
      <c r="J2" s="5" t="s">
        <v>315</v>
      </c>
      <c r="K2" s="5" t="s">
        <v>316</v>
      </c>
      <c r="L2" s="5" t="s">
        <v>115</v>
      </c>
      <c r="M2" s="5" t="s">
        <v>116</v>
      </c>
    </row>
    <row r="3" spans="1:13" x14ac:dyDescent="0.25">
      <c r="A3" s="33" t="s">
        <v>317</v>
      </c>
      <c r="B3" s="7">
        <v>9</v>
      </c>
      <c r="C3" s="33" t="s">
        <v>318</v>
      </c>
      <c r="D3" s="33" t="s">
        <v>319</v>
      </c>
      <c r="E3" s="33" t="s">
        <v>135</v>
      </c>
      <c r="F3" s="8" t="str">
        <f>INDEX(Parts!$B$3:$B$44,MATCH($E3,Parts!$A$3:$A$44,0))</f>
        <v>CL21A106KAYNNNE</v>
      </c>
      <c r="G3" s="8" t="str">
        <f>INDEX(Parts!$E$3:$E$44,MATCH($E3,Parts!$A$3:$A$44,0))</f>
        <v>Basic</v>
      </c>
      <c r="H3" s="34">
        <f>INDEX(Parts!$F$3:$F$44,MATCH($E3,Parts!$A$3:$A$44,0))</f>
        <v>7849987</v>
      </c>
      <c r="I3" s="35">
        <f>INDEX(Parts!$G$3:$G$44,MATCH($E3,Parts!$A$3:$A$44,0))</f>
        <v>8.4699999999999998E-2</v>
      </c>
      <c r="J3" s="23">
        <f t="shared" ref="J3:J32" si="0">B3*I3</f>
        <v>0.76229999999999998</v>
      </c>
      <c r="K3" s="33" t="str">
        <f>IF(INDEX(Parts!$H$3:$H$44,MATCH($E3,Parts!$A$3:$A$44,0))="No","JLC assembly","PRE-ORDER")</f>
        <v>JLC assembly</v>
      </c>
      <c r="L3" s="33" t="str">
        <f>IF(H3&lt;B3*Summary!$B$5,"SHORT",IF(H3&lt;Summary!$B$8,"Thin","OK"))</f>
        <v>OK</v>
      </c>
      <c r="M3" s="32" t="s">
        <v>138</v>
      </c>
    </row>
    <row r="4" spans="1:13" x14ac:dyDescent="0.25">
      <c r="A4" s="33" t="s">
        <v>320</v>
      </c>
      <c r="B4" s="7">
        <v>1</v>
      </c>
      <c r="C4" s="33" t="s">
        <v>321</v>
      </c>
      <c r="D4" s="33" t="s">
        <v>322</v>
      </c>
      <c r="E4" s="33" t="s">
        <v>272</v>
      </c>
      <c r="F4" s="8" t="str">
        <f>INDEX(Parts!$B$3:$B$44,MATCH($E4,Parts!$A$3:$A$44,0))</f>
        <v>CL05A105KA5NQNC</v>
      </c>
      <c r="G4" s="8" t="str">
        <f>INDEX(Parts!$E$3:$E$44,MATCH($E4,Parts!$A$3:$A$44,0))</f>
        <v>Basic</v>
      </c>
      <c r="H4" s="34">
        <f>INDEX(Parts!$F$3:$F$44,MATCH($E4,Parts!$A$3:$A$44,0))</f>
        <v>10724896</v>
      </c>
      <c r="I4" s="35">
        <f>INDEX(Parts!$G$3:$G$44,MATCH($E4,Parts!$A$3:$A$44,0))</f>
        <v>1.21E-2</v>
      </c>
      <c r="J4" s="23">
        <f t="shared" si="0"/>
        <v>1.21E-2</v>
      </c>
      <c r="K4" s="33" t="str">
        <f>IF(INDEX(Parts!$H$3:$H$44,MATCH($E4,Parts!$A$3:$A$44,0))="No","JLC assembly","PRE-ORDER")</f>
        <v>JLC assembly</v>
      </c>
      <c r="L4" s="33" t="str">
        <f>IF(H4&lt;B4*Summary!$B$5,"SHORT",IF(H4&lt;Summary!$B$8,"Thin","OK"))</f>
        <v>OK</v>
      </c>
      <c r="M4" s="32" t="s">
        <v>275</v>
      </c>
    </row>
    <row r="5" spans="1:13" x14ac:dyDescent="0.25">
      <c r="A5" s="33" t="s">
        <v>323</v>
      </c>
      <c r="B5" s="7">
        <v>4</v>
      </c>
      <c r="C5" s="33" t="s">
        <v>324</v>
      </c>
      <c r="D5" s="33" t="s">
        <v>319</v>
      </c>
      <c r="E5" s="33" t="s">
        <v>268</v>
      </c>
      <c r="F5" s="8" t="str">
        <f>INDEX(Parts!$B$3:$B$44,MATCH($E5,Parts!$A$3:$A$44,0))</f>
        <v>CL21A226MAQNNNE</v>
      </c>
      <c r="G5" s="8" t="str">
        <f>INDEX(Parts!$E$3:$E$44,MATCH($E5,Parts!$A$3:$A$44,0))</f>
        <v>Basic</v>
      </c>
      <c r="H5" s="34">
        <f>INDEX(Parts!$F$3:$F$44,MATCH($E5,Parts!$A$3:$A$44,0))</f>
        <v>5276598</v>
      </c>
      <c r="I5" s="35">
        <f>INDEX(Parts!$G$3:$G$44,MATCH($E5,Parts!$A$3:$A$44,0))</f>
        <v>0.2492</v>
      </c>
      <c r="J5" s="23">
        <f t="shared" si="0"/>
        <v>0.99680000000000002</v>
      </c>
      <c r="K5" s="33" t="str">
        <f>IF(INDEX(Parts!$H$3:$H$44,MATCH($E5,Parts!$A$3:$A$44,0))="No","JLC assembly","PRE-ORDER")</f>
        <v>JLC assembly</v>
      </c>
      <c r="L5" s="33" t="str">
        <f>IF(H5&lt;B5*Summary!$B$5,"SHORT",IF(H5&lt;Summary!$B$8,"Thin","OK"))</f>
        <v>OK</v>
      </c>
      <c r="M5" s="32" t="s">
        <v>271</v>
      </c>
    </row>
    <row r="6" spans="1:13" x14ac:dyDescent="0.25">
      <c r="A6" s="33" t="s">
        <v>325</v>
      </c>
      <c r="B6" s="7">
        <v>6</v>
      </c>
      <c r="C6" s="33" t="s">
        <v>326</v>
      </c>
      <c r="D6" s="33" t="s">
        <v>322</v>
      </c>
      <c r="E6" s="33" t="s">
        <v>125</v>
      </c>
      <c r="F6" s="8" t="str">
        <f>INDEX(Parts!$B$3:$B$44,MATCH($E6,Parts!$A$3:$A$44,0))</f>
        <v>CL05B104KO5NNNC</v>
      </c>
      <c r="G6" s="8" t="str">
        <f>INDEX(Parts!$E$3:$E$44,MATCH($E6,Parts!$A$3:$A$44,0))</f>
        <v>Basic</v>
      </c>
      <c r="H6" s="34">
        <f>INDEX(Parts!$F$3:$F$44,MATCH($E6,Parts!$A$3:$A$44,0))</f>
        <v>37375769</v>
      </c>
      <c r="I6" s="35">
        <f>INDEX(Parts!$G$3:$G$44,MATCH($E6,Parts!$A$3:$A$44,0))</f>
        <v>5.1000000000000004E-3</v>
      </c>
      <c r="J6" s="23">
        <f t="shared" si="0"/>
        <v>3.0600000000000002E-2</v>
      </c>
      <c r="K6" s="33" t="str">
        <f>IF(INDEX(Parts!$H$3:$H$44,MATCH($E6,Parts!$A$3:$A$44,0))="No","JLC assembly","PRE-ORDER")</f>
        <v>JLC assembly</v>
      </c>
      <c r="L6" s="33" t="str">
        <f>IF(H6&lt;B6*Summary!$B$5,"SHORT",IF(H6&lt;Summary!$B$8,"Thin","OK"))</f>
        <v>OK</v>
      </c>
      <c r="M6" s="32" t="s">
        <v>130</v>
      </c>
    </row>
    <row r="7" spans="1:13" x14ac:dyDescent="0.25">
      <c r="A7" s="33" t="s">
        <v>327</v>
      </c>
      <c r="B7" s="7">
        <v>1</v>
      </c>
      <c r="C7" s="33" t="s">
        <v>328</v>
      </c>
      <c r="D7" s="33" t="s">
        <v>329</v>
      </c>
      <c r="E7" s="33" t="s">
        <v>286</v>
      </c>
      <c r="F7" s="8" t="str">
        <f>INDEX(Parts!$B$3:$B$44,MATCH($E7,Parts!$A$3:$A$44,0))</f>
        <v>TAJB107M010RNJ</v>
      </c>
      <c r="G7" s="8" t="str">
        <f>INDEX(Parts!$E$3:$E$44,MATCH($E7,Parts!$A$3:$A$44,0))</f>
        <v>Extended</v>
      </c>
      <c r="H7" s="34">
        <f>INDEX(Parts!$F$3:$F$44,MATCH($E7,Parts!$A$3:$A$44,0))</f>
        <v>147504</v>
      </c>
      <c r="I7" s="35">
        <f>INDEX(Parts!$G$3:$G$44,MATCH($E7,Parts!$A$3:$A$44,0))</f>
        <v>0.4874</v>
      </c>
      <c r="J7" s="23">
        <f t="shared" si="0"/>
        <v>0.4874</v>
      </c>
      <c r="K7" s="33" t="str">
        <f>IF(INDEX(Parts!$H$3:$H$44,MATCH($E7,Parts!$A$3:$A$44,0))="No","JLC assembly","PRE-ORDER")</f>
        <v>JLC assembly</v>
      </c>
      <c r="L7" s="33" t="str">
        <f>IF(H7&lt;B7*Summary!$B$5,"SHORT",IF(H7&lt;Summary!$B$8,"Thin","OK"))</f>
        <v>OK</v>
      </c>
      <c r="M7" s="32" t="s">
        <v>290</v>
      </c>
    </row>
    <row r="8" spans="1:13" x14ac:dyDescent="0.25">
      <c r="A8" s="33" t="s">
        <v>330</v>
      </c>
      <c r="B8" s="7">
        <v>1</v>
      </c>
      <c r="C8" s="33" t="s">
        <v>331</v>
      </c>
      <c r="D8" s="33" t="s">
        <v>332</v>
      </c>
      <c r="E8" s="33" t="s">
        <v>148</v>
      </c>
      <c r="F8" s="8" t="str">
        <f>INDEX(Parts!$B$3:$B$44,MATCH($E8,Parts!$A$3:$A$44,0))</f>
        <v>1812L300/24GR</v>
      </c>
      <c r="G8" s="8" t="str">
        <f>INDEX(Parts!$E$3:$E$44,MATCH($E8,Parts!$A$3:$A$44,0))</f>
        <v>Extended</v>
      </c>
      <c r="H8" s="34">
        <f>INDEX(Parts!$F$3:$F$44,MATCH($E8,Parts!$A$3:$A$44,0))</f>
        <v>53558</v>
      </c>
      <c r="I8" s="35">
        <f>INDEX(Parts!$G$3:$G$44,MATCH($E8,Parts!$A$3:$A$44,0))</f>
        <v>0.1384</v>
      </c>
      <c r="J8" s="23">
        <f t="shared" si="0"/>
        <v>0.1384</v>
      </c>
      <c r="K8" s="33" t="str">
        <f>IF(INDEX(Parts!$H$3:$H$44,MATCH($E8,Parts!$A$3:$A$44,0))="No","JLC assembly","PRE-ORDER")</f>
        <v>JLC assembly</v>
      </c>
      <c r="L8" s="33" t="str">
        <f>IF(H8&lt;B8*Summary!$B$5,"SHORT",IF(H8&lt;Summary!$B$8,"Thin","OK"))</f>
        <v>OK</v>
      </c>
      <c r="M8" s="32" t="s">
        <v>152</v>
      </c>
    </row>
    <row r="9" spans="1:13" x14ac:dyDescent="0.25">
      <c r="A9" s="33" t="s">
        <v>333</v>
      </c>
      <c r="B9" s="7">
        <v>1</v>
      </c>
      <c r="C9" s="33" t="s">
        <v>334</v>
      </c>
      <c r="D9" s="33" t="s">
        <v>335</v>
      </c>
      <c r="E9" s="33" t="s">
        <v>204</v>
      </c>
      <c r="F9" s="8" t="str">
        <f>INDEX(Parts!$B$3:$B$44,MATCH($E9,Parts!$A$3:$A$44,0))</f>
        <v>TYPE-C 16PIN 2MD(073)</v>
      </c>
      <c r="G9" s="8" t="str">
        <f>INDEX(Parts!$E$3:$E$44,MATCH($E9,Parts!$A$3:$A$44,0))</f>
        <v>Extended</v>
      </c>
      <c r="H9" s="34">
        <f>INDEX(Parts!$F$3:$F$44,MATCH($E9,Parts!$A$3:$A$44,0))</f>
        <v>995015</v>
      </c>
      <c r="I9" s="35">
        <f>INDEX(Parts!$G$3:$G$44,MATCH($E9,Parts!$A$3:$A$44,0))</f>
        <v>7.4300000000000005E-2</v>
      </c>
      <c r="J9" s="23">
        <f t="shared" si="0"/>
        <v>7.4300000000000005E-2</v>
      </c>
      <c r="K9" s="33" t="str">
        <f>IF(INDEX(Parts!$H$3:$H$44,MATCH($E9,Parts!$A$3:$A$44,0))="No","JLC assembly","PRE-ORDER")</f>
        <v>JLC assembly</v>
      </c>
      <c r="L9" s="33" t="str">
        <f>IF(H9&lt;B9*Summary!$B$5,"SHORT",IF(H9&lt;Summary!$B$8,"Thin","OK"))</f>
        <v>OK</v>
      </c>
      <c r="M9" s="32" t="s">
        <v>208</v>
      </c>
    </row>
    <row r="10" spans="1:13" x14ac:dyDescent="0.25">
      <c r="A10" s="33" t="s">
        <v>336</v>
      </c>
      <c r="B10" s="7">
        <v>1</v>
      </c>
      <c r="C10" s="33" t="s">
        <v>337</v>
      </c>
      <c r="D10" s="33" t="s">
        <v>338</v>
      </c>
      <c r="E10" s="33" t="s">
        <v>219</v>
      </c>
      <c r="F10" s="8" t="str">
        <f>INDEX(Parts!$B$3:$B$44,MATCH($E10,Parts!$A$3:$A$44,0))</f>
        <v>S2B-PH-SM4-TB(LF)(SN)</v>
      </c>
      <c r="G10" s="8" t="str">
        <f>INDEX(Parts!$E$3:$E$44,MATCH($E10,Parts!$A$3:$A$44,0))</f>
        <v>Extended</v>
      </c>
      <c r="H10" s="34">
        <f>INDEX(Parts!$F$3:$F$44,MATCH($E10,Parts!$A$3:$A$44,0))</f>
        <v>29773</v>
      </c>
      <c r="I10" s="35">
        <f>INDEX(Parts!$G$3:$G$44,MATCH($E10,Parts!$A$3:$A$44,0))</f>
        <v>0.23960000000000001</v>
      </c>
      <c r="J10" s="23">
        <f t="shared" si="0"/>
        <v>0.23960000000000001</v>
      </c>
      <c r="K10" s="33" t="str">
        <f>IF(INDEX(Parts!$H$3:$H$44,MATCH($E10,Parts!$A$3:$A$44,0))="No","JLC assembly","PRE-ORDER")</f>
        <v>JLC assembly</v>
      </c>
      <c r="L10" s="33" t="str">
        <f>IF(H10&lt;B10*Summary!$B$5,"SHORT",IF(H10&lt;Summary!$B$8,"Thin","OK"))</f>
        <v>OK</v>
      </c>
      <c r="M10" s="32" t="s">
        <v>223</v>
      </c>
    </row>
    <row r="11" spans="1:13" x14ac:dyDescent="0.25">
      <c r="A11" s="33" t="s">
        <v>339</v>
      </c>
      <c r="B11" s="7">
        <v>4</v>
      </c>
      <c r="C11" s="33" t="s">
        <v>340</v>
      </c>
      <c r="D11" s="33" t="s">
        <v>341</v>
      </c>
      <c r="E11" s="33" t="s">
        <v>224</v>
      </c>
      <c r="F11" s="8" t="str">
        <f>INDEX(Parts!$B$3:$B$44,MATCH($E11,Parts!$A$3:$A$44,0))</f>
        <v>WAFER-GH1.25-2PLB</v>
      </c>
      <c r="G11" s="8" t="str">
        <f>INDEX(Parts!$E$3:$E$44,MATCH($E11,Parts!$A$3:$A$44,0))</f>
        <v>Extended</v>
      </c>
      <c r="H11" s="34">
        <f>INDEX(Parts!$F$3:$F$44,MATCH($E11,Parts!$A$3:$A$44,0))</f>
        <v>46600</v>
      </c>
      <c r="I11" s="35">
        <f>INDEX(Parts!$G$3:$G$44,MATCH($E11,Parts!$A$3:$A$44,0))</f>
        <v>0.13</v>
      </c>
      <c r="J11" s="23">
        <f t="shared" si="0"/>
        <v>0.52</v>
      </c>
      <c r="K11" s="33" t="str">
        <f>IF(INDEX(Parts!$H$3:$H$44,MATCH($E11,Parts!$A$3:$A$44,0))="No","JLC assembly","PRE-ORDER")</f>
        <v>JLC assembly</v>
      </c>
      <c r="L11" s="33" t="str">
        <f>IF(H11&lt;B11*Summary!$B$5,"SHORT",IF(H11&lt;Summary!$B$8,"Thin","OK"))</f>
        <v>OK</v>
      </c>
      <c r="M11" s="32" t="s">
        <v>228</v>
      </c>
    </row>
    <row r="12" spans="1:13" x14ac:dyDescent="0.25">
      <c r="A12" s="33" t="s">
        <v>342</v>
      </c>
      <c r="B12" s="7">
        <v>1</v>
      </c>
      <c r="C12" s="33" t="s">
        <v>343</v>
      </c>
      <c r="D12" s="33" t="s">
        <v>344</v>
      </c>
      <c r="E12" s="33" t="s">
        <v>233</v>
      </c>
      <c r="F12" s="8" t="str">
        <f>INDEX(Parts!$B$3:$B$44,MATCH($E12,Parts!$A$3:$A$44,0))</f>
        <v>WAFER-GH1.25-10PLB</v>
      </c>
      <c r="G12" s="8" t="str">
        <f>INDEX(Parts!$E$3:$E$44,MATCH($E12,Parts!$A$3:$A$44,0))</f>
        <v>Extended</v>
      </c>
      <c r="H12" s="34">
        <f>INDEX(Parts!$F$3:$F$44,MATCH($E12,Parts!$A$3:$A$44,0))</f>
        <v>1796</v>
      </c>
      <c r="I12" s="35">
        <f>INDEX(Parts!$G$3:$G$44,MATCH($E12,Parts!$A$3:$A$44,0))</f>
        <v>0.21640000000000001</v>
      </c>
      <c r="J12" s="23">
        <f t="shared" si="0"/>
        <v>0.21640000000000001</v>
      </c>
      <c r="K12" s="33" t="str">
        <f>IF(INDEX(Parts!$H$3:$H$44,MATCH($E12,Parts!$A$3:$A$44,0))="No","JLC assembly","PRE-ORDER")</f>
        <v>JLC assembly</v>
      </c>
      <c r="L12" s="33" t="str">
        <f>IF(H12&lt;B12*Summary!$B$5,"SHORT",IF(H12&lt;Summary!$B$8,"Thin","OK"))</f>
        <v>Thin</v>
      </c>
      <c r="M12" s="32" t="s">
        <v>236</v>
      </c>
    </row>
    <row r="13" spans="1:13" x14ac:dyDescent="0.25">
      <c r="A13" s="33" t="s">
        <v>345</v>
      </c>
      <c r="B13" s="7">
        <v>2</v>
      </c>
      <c r="C13" s="33" t="s">
        <v>346</v>
      </c>
      <c r="D13" s="33" t="s">
        <v>347</v>
      </c>
      <c r="E13" s="33" t="s">
        <v>237</v>
      </c>
      <c r="F13" s="8" t="str">
        <f>INDEX(Parts!$B$3:$B$44,MATCH($E13,Parts!$A$3:$A$44,0))</f>
        <v>WAFER-GH1.25-3PWB</v>
      </c>
      <c r="G13" s="8" t="str">
        <f>INDEX(Parts!$E$3:$E$44,MATCH($E13,Parts!$A$3:$A$44,0))</f>
        <v>Extended</v>
      </c>
      <c r="H13" s="34">
        <f>INDEX(Parts!$F$3:$F$44,MATCH($E13,Parts!$A$3:$A$44,0))</f>
        <v>78982</v>
      </c>
      <c r="I13" s="35">
        <f>INDEX(Parts!$G$3:$G$44,MATCH($E13,Parts!$A$3:$A$44,0))</f>
        <v>0.12429999999999999</v>
      </c>
      <c r="J13" s="23">
        <f t="shared" si="0"/>
        <v>0.24859999999999999</v>
      </c>
      <c r="K13" s="33" t="str">
        <f>IF(INDEX(Parts!$H$3:$H$44,MATCH($E13,Parts!$A$3:$A$44,0))="No","JLC assembly","PRE-ORDER")</f>
        <v>JLC assembly</v>
      </c>
      <c r="L13" s="33" t="str">
        <f>IF(H13&lt;B13*Summary!$B$5,"SHORT",IF(H13&lt;Summary!$B$8,"Thin","OK"))</f>
        <v>OK</v>
      </c>
      <c r="M13" s="32" t="s">
        <v>240</v>
      </c>
    </row>
    <row r="14" spans="1:13" x14ac:dyDescent="0.25">
      <c r="A14" s="33" t="s">
        <v>348</v>
      </c>
      <c r="B14" s="7">
        <v>1</v>
      </c>
      <c r="C14" s="33" t="s">
        <v>349</v>
      </c>
      <c r="D14" s="33" t="s">
        <v>350</v>
      </c>
      <c r="E14" s="33" t="s">
        <v>281</v>
      </c>
      <c r="F14" s="8" t="str">
        <f>INDEX(Parts!$B$3:$B$44,MATCH($E14,Parts!$A$3:$A$44,0))</f>
        <v>FTC252010S1R0MBCA</v>
      </c>
      <c r="G14" s="8" t="str">
        <f>INDEX(Parts!$E$3:$E$44,MATCH($E14,Parts!$A$3:$A$44,0))</f>
        <v>Extended</v>
      </c>
      <c r="H14" s="34">
        <f>INDEX(Parts!$F$3:$F$44,MATCH($E14,Parts!$A$3:$A$44,0))</f>
        <v>263367</v>
      </c>
      <c r="I14" s="35">
        <f>INDEX(Parts!$G$3:$G$44,MATCH($E14,Parts!$A$3:$A$44,0))</f>
        <v>2.7799999999999998E-2</v>
      </c>
      <c r="J14" s="23">
        <f t="shared" si="0"/>
        <v>2.7799999999999998E-2</v>
      </c>
      <c r="K14" s="33" t="str">
        <f>IF(INDEX(Parts!$H$3:$H$44,MATCH($E14,Parts!$A$3:$A$44,0))="No","JLC assembly","PRE-ORDER")</f>
        <v>JLC assembly</v>
      </c>
      <c r="L14" s="33" t="str">
        <f>IF(H14&lt;B14*Summary!$B$5,"SHORT",IF(H14&lt;Summary!$B$8,"Thin","OK"))</f>
        <v>OK</v>
      </c>
      <c r="M14" s="32" t="s">
        <v>285</v>
      </c>
    </row>
    <row r="15" spans="1:13" x14ac:dyDescent="0.25">
      <c r="A15" s="33" t="s">
        <v>351</v>
      </c>
      <c r="B15" s="7">
        <v>1</v>
      </c>
      <c r="C15" s="33" t="s">
        <v>352</v>
      </c>
      <c r="D15" s="33" t="s">
        <v>353</v>
      </c>
      <c r="E15" s="33" t="s">
        <v>255</v>
      </c>
      <c r="F15" s="8" t="str">
        <f>INDEX(Parts!$B$3:$B$44,MATCH($E15,Parts!$A$3:$A$44,0))</f>
        <v>MWSA0402S-2R2MT</v>
      </c>
      <c r="G15" s="8" t="str">
        <f>INDEX(Parts!$E$3:$E$44,MATCH($E15,Parts!$A$3:$A$44,0))</f>
        <v>Extended</v>
      </c>
      <c r="H15" s="34">
        <f>INDEX(Parts!$F$3:$F$44,MATCH($E15,Parts!$A$3:$A$44,0))</f>
        <v>33271</v>
      </c>
      <c r="I15" s="35">
        <f>INDEX(Parts!$G$3:$G$44,MATCH($E15,Parts!$A$3:$A$44,0))</f>
        <v>0.15240000000000001</v>
      </c>
      <c r="J15" s="23">
        <f t="shared" si="0"/>
        <v>0.15240000000000001</v>
      </c>
      <c r="K15" s="33" t="str">
        <f>IF(INDEX(Parts!$H$3:$H$44,MATCH($E15,Parts!$A$3:$A$44,0))="No","JLC assembly","PRE-ORDER")</f>
        <v>JLC assembly</v>
      </c>
      <c r="L15" s="33" t="str">
        <f>IF(H15&lt;B15*Summary!$B$5,"SHORT",IF(H15&lt;Summary!$B$8,"Thin","OK"))</f>
        <v>OK</v>
      </c>
      <c r="M15" s="32" t="s">
        <v>259</v>
      </c>
    </row>
    <row r="16" spans="1:13" x14ac:dyDescent="0.25">
      <c r="A16" s="33" t="s">
        <v>354</v>
      </c>
      <c r="B16" s="7">
        <v>3</v>
      </c>
      <c r="C16" s="33" t="s">
        <v>251</v>
      </c>
      <c r="D16" s="33" t="s">
        <v>355</v>
      </c>
      <c r="E16" s="33" t="s">
        <v>250</v>
      </c>
      <c r="F16" s="8" t="str">
        <f>INDEX(Parts!$B$3:$B$44,MATCH($E16,Parts!$A$3:$A$44,0))</f>
        <v>SI2333</v>
      </c>
      <c r="G16" s="8" t="str">
        <f>INDEX(Parts!$E$3:$E$44,MATCH($E16,Parts!$A$3:$A$44,0))</f>
        <v>Extended</v>
      </c>
      <c r="H16" s="34">
        <f>INDEX(Parts!$F$3:$F$44,MATCH($E16,Parts!$A$3:$A$44,0))</f>
        <v>28583</v>
      </c>
      <c r="I16" s="35">
        <f>INDEX(Parts!$G$3:$G$44,MATCH($E16,Parts!$A$3:$A$44,0))</f>
        <v>6.1899999999999997E-2</v>
      </c>
      <c r="J16" s="23">
        <f t="shared" si="0"/>
        <v>0.18569999999999998</v>
      </c>
      <c r="K16" s="33" t="str">
        <f>IF(INDEX(Parts!$H$3:$H$44,MATCH($E16,Parts!$A$3:$A$44,0))="No","JLC assembly","PRE-ORDER")</f>
        <v>JLC assembly</v>
      </c>
      <c r="L16" s="33" t="str">
        <f>IF(H16&lt;B16*Summary!$B$5,"SHORT",IF(H16&lt;Summary!$B$8,"Thin","OK"))</f>
        <v>OK</v>
      </c>
      <c r="M16" s="32" t="s">
        <v>254</v>
      </c>
    </row>
    <row r="17" spans="1:13" x14ac:dyDescent="0.25">
      <c r="A17" s="33" t="s">
        <v>356</v>
      </c>
      <c r="B17" s="7">
        <v>2</v>
      </c>
      <c r="C17" s="33" t="s">
        <v>357</v>
      </c>
      <c r="D17" s="33" t="s">
        <v>358</v>
      </c>
      <c r="E17" s="33" t="s">
        <v>186</v>
      </c>
      <c r="F17" s="8" t="str">
        <f>INDEX(Parts!$B$3:$B$44,MATCH($E17,Parts!$A$3:$A$44,0))</f>
        <v>0402WGF5101TCE</v>
      </c>
      <c r="G17" s="8" t="str">
        <f>INDEX(Parts!$E$3:$E$44,MATCH($E17,Parts!$A$3:$A$44,0))</f>
        <v>Basic</v>
      </c>
      <c r="H17" s="34">
        <f>INDEX(Parts!$F$3:$F$44,MATCH($E17,Parts!$A$3:$A$44,0))</f>
        <v>8102286</v>
      </c>
      <c r="I17" s="35">
        <f>INDEX(Parts!$G$3:$G$44,MATCH($E17,Parts!$A$3:$A$44,0))</f>
        <v>2.5999999999999999E-3</v>
      </c>
      <c r="J17" s="23">
        <f t="shared" si="0"/>
        <v>5.1999999999999998E-3</v>
      </c>
      <c r="K17" s="33" t="str">
        <f>IF(INDEX(Parts!$H$3:$H$44,MATCH($E17,Parts!$A$3:$A$44,0))="No","JLC assembly","PRE-ORDER")</f>
        <v>JLC assembly</v>
      </c>
      <c r="L17" s="33" t="str">
        <f>IF(H17&lt;B17*Summary!$B$5,"SHORT",IF(H17&lt;Summary!$B$8,"Thin","OK"))</f>
        <v>OK</v>
      </c>
      <c r="M17" s="32" t="s">
        <v>189</v>
      </c>
    </row>
    <row r="18" spans="1:13" x14ac:dyDescent="0.25">
      <c r="A18" s="33" t="s">
        <v>359</v>
      </c>
      <c r="B18" s="7">
        <v>2</v>
      </c>
      <c r="C18" s="33" t="s">
        <v>360</v>
      </c>
      <c r="D18" s="33" t="s">
        <v>358</v>
      </c>
      <c r="E18" s="33" t="s">
        <v>166</v>
      </c>
      <c r="F18" s="8" t="str">
        <f>INDEX(Parts!$B$3:$B$44,MATCH($E18,Parts!$A$3:$A$44,0))</f>
        <v>0402WGF1002TCE</v>
      </c>
      <c r="G18" s="8" t="str">
        <f>INDEX(Parts!$E$3:$E$44,MATCH($E18,Parts!$A$3:$A$44,0))</f>
        <v>Basic</v>
      </c>
      <c r="H18" s="34">
        <f>INDEX(Parts!$F$3:$F$44,MATCH($E18,Parts!$A$3:$A$44,0))</f>
        <v>30863902</v>
      </c>
      <c r="I18" s="35">
        <f>INDEX(Parts!$G$3:$G$44,MATCH($E18,Parts!$A$3:$A$44,0))</f>
        <v>3.0999999999999999E-3</v>
      </c>
      <c r="J18" s="23">
        <f t="shared" si="0"/>
        <v>6.1999999999999998E-3</v>
      </c>
      <c r="K18" s="33" t="str">
        <f>IF(INDEX(Parts!$H$3:$H$44,MATCH($E18,Parts!$A$3:$A$44,0))="No","JLC assembly","PRE-ORDER")</f>
        <v>JLC assembly</v>
      </c>
      <c r="L18" s="33" t="str">
        <f>IF(H18&lt;B18*Summary!$B$5,"SHORT",IF(H18&lt;Summary!$B$8,"Thin","OK"))</f>
        <v>OK</v>
      </c>
      <c r="M18" s="32" t="s">
        <v>169</v>
      </c>
    </row>
    <row r="19" spans="1:13" x14ac:dyDescent="0.25">
      <c r="A19" s="33" t="s">
        <v>361</v>
      </c>
      <c r="B19" s="7">
        <v>3</v>
      </c>
      <c r="C19" s="33" t="s">
        <v>362</v>
      </c>
      <c r="D19" s="33" t="s">
        <v>358</v>
      </c>
      <c r="E19" s="33" t="s">
        <v>162</v>
      </c>
      <c r="F19" s="8" t="str">
        <f>INDEX(Parts!$B$3:$B$44,MATCH($E19,Parts!$A$3:$A$44,0))</f>
        <v>0402WGF1003TCE</v>
      </c>
      <c r="G19" s="8" t="str">
        <f>INDEX(Parts!$E$3:$E$44,MATCH($E19,Parts!$A$3:$A$44,0))</f>
        <v>Basic</v>
      </c>
      <c r="H19" s="34">
        <f>INDEX(Parts!$F$3:$F$44,MATCH($E19,Parts!$A$3:$A$44,0))</f>
        <v>12874055</v>
      </c>
      <c r="I19" s="35">
        <f>INDEX(Parts!$G$3:$G$44,MATCH($E19,Parts!$A$3:$A$44,0))</f>
        <v>2.8E-3</v>
      </c>
      <c r="J19" s="23">
        <f t="shared" si="0"/>
        <v>8.3999999999999995E-3</v>
      </c>
      <c r="K19" s="33" t="str">
        <f>IF(INDEX(Parts!$H$3:$H$44,MATCH($E19,Parts!$A$3:$A$44,0))="No","JLC assembly","PRE-ORDER")</f>
        <v>JLC assembly</v>
      </c>
      <c r="L19" s="33" t="str">
        <f>IF(H19&lt;B19*Summary!$B$5,"SHORT",IF(H19&lt;Summary!$B$8,"Thin","OK"))</f>
        <v>OK</v>
      </c>
      <c r="M19" s="32" t="s">
        <v>165</v>
      </c>
    </row>
    <row r="20" spans="1:13" x14ac:dyDescent="0.25">
      <c r="A20" s="33" t="s">
        <v>363</v>
      </c>
      <c r="B20" s="7">
        <v>1</v>
      </c>
      <c r="C20" s="33" t="s">
        <v>364</v>
      </c>
      <c r="D20" s="33" t="s">
        <v>358</v>
      </c>
      <c r="E20" s="33" t="s">
        <v>199</v>
      </c>
      <c r="F20" s="8" t="str">
        <f>INDEX(Parts!$B$3:$B$44,MATCH($E20,Parts!$A$3:$A$44,0))</f>
        <v>RC0402FR-071K24L</v>
      </c>
      <c r="G20" s="8" t="str">
        <f>INDEX(Parts!$E$3:$E$44,MATCH($E20,Parts!$A$3:$A$44,0))</f>
        <v>Extended</v>
      </c>
      <c r="H20" s="34">
        <f>INDEX(Parts!$F$3:$F$44,MATCH($E20,Parts!$A$3:$A$44,0))</f>
        <v>94104</v>
      </c>
      <c r="I20" s="35">
        <f>INDEX(Parts!$G$3:$G$44,MATCH($E20,Parts!$A$3:$A$44,0))</f>
        <v>2.5999999999999999E-3</v>
      </c>
      <c r="J20" s="23">
        <f t="shared" si="0"/>
        <v>2.5999999999999999E-3</v>
      </c>
      <c r="K20" s="33" t="str">
        <f>IF(INDEX(Parts!$H$3:$H$44,MATCH($E20,Parts!$A$3:$A$44,0))="No","JLC assembly","PRE-ORDER")</f>
        <v>JLC assembly</v>
      </c>
      <c r="L20" s="33" t="str">
        <f>IF(H20&lt;B20*Summary!$B$5,"SHORT",IF(H20&lt;Summary!$B$8,"Thin","OK"))</f>
        <v>OK</v>
      </c>
      <c r="M20" s="32" t="s">
        <v>203</v>
      </c>
    </row>
    <row r="21" spans="1:13" x14ac:dyDescent="0.25">
      <c r="A21" s="33" t="s">
        <v>365</v>
      </c>
      <c r="B21" s="7">
        <v>1</v>
      </c>
      <c r="C21" s="33" t="s">
        <v>366</v>
      </c>
      <c r="D21" s="33" t="s">
        <v>358</v>
      </c>
      <c r="E21" s="33" t="s">
        <v>260</v>
      </c>
      <c r="F21" s="8" t="str">
        <f>INDEX(Parts!$B$3:$B$44,MATCH($E21,Parts!$A$3:$A$44,0))</f>
        <v>0402WGF2001TCE</v>
      </c>
      <c r="G21" s="8" t="str">
        <f>INDEX(Parts!$E$3:$E$44,MATCH($E21,Parts!$A$3:$A$44,0))</f>
        <v>Basic</v>
      </c>
      <c r="H21" s="34">
        <f>INDEX(Parts!$F$3:$F$44,MATCH($E21,Parts!$A$3:$A$44,0))</f>
        <v>8265751</v>
      </c>
      <c r="I21" s="35">
        <f>INDEX(Parts!$G$3:$G$44,MATCH($E21,Parts!$A$3:$A$44,0))</f>
        <v>2.8999999999999998E-3</v>
      </c>
      <c r="J21" s="23">
        <f t="shared" si="0"/>
        <v>2.8999999999999998E-3</v>
      </c>
      <c r="K21" s="33" t="str">
        <f>IF(INDEX(Parts!$H$3:$H$44,MATCH($E21,Parts!$A$3:$A$44,0))="No","JLC assembly","PRE-ORDER")</f>
        <v>JLC assembly</v>
      </c>
      <c r="L21" s="33" t="str">
        <f>IF(H21&lt;B21*Summary!$B$5,"SHORT",IF(H21&lt;Summary!$B$8,"Thin","OK"))</f>
        <v>OK</v>
      </c>
      <c r="M21" s="32" t="s">
        <v>263</v>
      </c>
    </row>
    <row r="22" spans="1:13" x14ac:dyDescent="0.25">
      <c r="A22" s="33" t="s">
        <v>367</v>
      </c>
      <c r="B22" s="7">
        <v>1</v>
      </c>
      <c r="C22" s="33" t="s">
        <v>368</v>
      </c>
      <c r="D22" s="33" t="s">
        <v>358</v>
      </c>
      <c r="E22" s="33" t="s">
        <v>178</v>
      </c>
      <c r="F22" s="8" t="str">
        <f>INDEX(Parts!$B$3:$B$44,MATCH($E22,Parts!$A$3:$A$44,0))</f>
        <v>0402WGF4702TCE</v>
      </c>
      <c r="G22" s="8" t="str">
        <f>INDEX(Parts!$E$3:$E$44,MATCH($E22,Parts!$A$3:$A$44,0))</f>
        <v>Basic</v>
      </c>
      <c r="H22" s="34">
        <f>INDEX(Parts!$F$3:$F$44,MATCH($E22,Parts!$A$3:$A$44,0))</f>
        <v>6406298</v>
      </c>
      <c r="I22" s="35">
        <f>INDEX(Parts!$G$3:$G$44,MATCH($E22,Parts!$A$3:$A$44,0))</f>
        <v>2.8999999999999998E-3</v>
      </c>
      <c r="J22" s="23">
        <f t="shared" si="0"/>
        <v>2.8999999999999998E-3</v>
      </c>
      <c r="K22" s="33" t="str">
        <f>IF(INDEX(Parts!$H$3:$H$44,MATCH($E22,Parts!$A$3:$A$44,0))="No","JLC assembly","PRE-ORDER")</f>
        <v>JLC assembly</v>
      </c>
      <c r="L22" s="33" t="str">
        <f>IF(H22&lt;B22*Summary!$B$5,"SHORT",IF(H22&lt;Summary!$B$8,"Thin","OK"))</f>
        <v>OK</v>
      </c>
      <c r="M22" s="32" t="s">
        <v>181</v>
      </c>
    </row>
    <row r="23" spans="1:13" x14ac:dyDescent="0.25">
      <c r="A23" s="33" t="s">
        <v>369</v>
      </c>
      <c r="B23" s="7">
        <v>2</v>
      </c>
      <c r="C23" s="33" t="s">
        <v>370</v>
      </c>
      <c r="D23" s="33" t="s">
        <v>358</v>
      </c>
      <c r="E23" s="33" t="s">
        <v>190</v>
      </c>
      <c r="F23" s="8" t="str">
        <f>INDEX(Parts!$B$3:$B$44,MATCH($E23,Parts!$A$3:$A$44,0))</f>
        <v>0402WGF1004TCE</v>
      </c>
      <c r="G23" s="8" t="str">
        <f>INDEX(Parts!$E$3:$E$44,MATCH($E23,Parts!$A$3:$A$44,0))</f>
        <v>Basic</v>
      </c>
      <c r="H23" s="34">
        <f>INDEX(Parts!$F$3:$F$44,MATCH($E23,Parts!$A$3:$A$44,0))</f>
        <v>3167975</v>
      </c>
      <c r="I23" s="35">
        <f>INDEX(Parts!$G$3:$G$44,MATCH($E23,Parts!$A$3:$A$44,0))</f>
        <v>2.5999999999999999E-3</v>
      </c>
      <c r="J23" s="23">
        <f t="shared" si="0"/>
        <v>5.1999999999999998E-3</v>
      </c>
      <c r="K23" s="33" t="str">
        <f>IF(INDEX(Parts!$H$3:$H$44,MATCH($E23,Parts!$A$3:$A$44,0))="No","JLC assembly","PRE-ORDER")</f>
        <v>JLC assembly</v>
      </c>
      <c r="L23" s="33" t="str">
        <f>IF(H23&lt;B23*Summary!$B$5,"SHORT",IF(H23&lt;Summary!$B$8,"Thin","OK"))</f>
        <v>OK</v>
      </c>
      <c r="M23" s="32" t="s">
        <v>193</v>
      </c>
    </row>
    <row r="24" spans="1:13" x14ac:dyDescent="0.25">
      <c r="A24" s="33" t="s">
        <v>371</v>
      </c>
      <c r="B24" s="7">
        <v>1</v>
      </c>
      <c r="C24" s="33" t="s">
        <v>372</v>
      </c>
      <c r="D24" s="33" t="s">
        <v>358</v>
      </c>
      <c r="E24" s="33" t="s">
        <v>170</v>
      </c>
      <c r="F24" s="8" t="str">
        <f>INDEX(Parts!$B$3:$B$44,MATCH($E24,Parts!$A$3:$A$44,0))</f>
        <v>0402WGF1803TCE</v>
      </c>
      <c r="G24" s="8" t="str">
        <f>INDEX(Parts!$E$3:$E$44,MATCH($E24,Parts!$A$3:$A$44,0))</f>
        <v>Extended</v>
      </c>
      <c r="H24" s="34">
        <f>INDEX(Parts!$F$3:$F$44,MATCH($E24,Parts!$A$3:$A$44,0))</f>
        <v>229024</v>
      </c>
      <c r="I24" s="35">
        <f>INDEX(Parts!$G$3:$G$44,MATCH($E24,Parts!$A$3:$A$44,0))</f>
        <v>2E-3</v>
      </c>
      <c r="J24" s="23">
        <f t="shared" si="0"/>
        <v>2E-3</v>
      </c>
      <c r="K24" s="33" t="str">
        <f>IF(INDEX(Parts!$H$3:$H$44,MATCH($E24,Parts!$A$3:$A$44,0))="No","JLC assembly","PRE-ORDER")</f>
        <v>JLC assembly</v>
      </c>
      <c r="L24" s="33" t="str">
        <f>IF(H24&lt;B24*Summary!$B$5,"SHORT",IF(H24&lt;Summary!$B$8,"Thin","OK"))</f>
        <v>OK</v>
      </c>
      <c r="M24" s="32" t="s">
        <v>173</v>
      </c>
    </row>
    <row r="25" spans="1:13" x14ac:dyDescent="0.25">
      <c r="A25" s="33" t="s">
        <v>373</v>
      </c>
      <c r="B25" s="7">
        <v>4</v>
      </c>
      <c r="C25" s="33" t="s">
        <v>374</v>
      </c>
      <c r="D25" s="33" t="s">
        <v>375</v>
      </c>
      <c r="E25" s="33" t="s">
        <v>214</v>
      </c>
      <c r="F25" s="8" t="str">
        <f>INDEX(Parts!$B$3:$B$44,MATCH($E25,Parts!$A$3:$A$44,0))</f>
        <v>FRL0603FR500TS</v>
      </c>
      <c r="G25" s="8" t="str">
        <f>INDEX(Parts!$E$3:$E$44,MATCH($E25,Parts!$A$3:$A$44,0))</f>
        <v>Extended</v>
      </c>
      <c r="H25" s="34">
        <f>INDEX(Parts!$F$3:$F$44,MATCH($E25,Parts!$A$3:$A$44,0))</f>
        <v>202425</v>
      </c>
      <c r="I25" s="35">
        <f>INDEX(Parts!$G$3:$G$44,MATCH($E25,Parts!$A$3:$A$44,0))</f>
        <v>5.4000000000000003E-3</v>
      </c>
      <c r="J25" s="23">
        <f t="shared" si="0"/>
        <v>2.1600000000000001E-2</v>
      </c>
      <c r="K25" s="33" t="str">
        <f>IF(INDEX(Parts!$H$3:$H$44,MATCH($E25,Parts!$A$3:$A$44,0))="No","JLC assembly","PRE-ORDER")</f>
        <v>JLC assembly</v>
      </c>
      <c r="L25" s="33" t="str">
        <f>IF(H25&lt;B25*Summary!$B$5,"SHORT",IF(H25&lt;Summary!$B$8,"Thin","OK"))</f>
        <v>OK</v>
      </c>
      <c r="M25" s="32" t="s">
        <v>218</v>
      </c>
    </row>
    <row r="26" spans="1:13" x14ac:dyDescent="0.25">
      <c r="A26" s="33" t="s">
        <v>376</v>
      </c>
      <c r="B26" s="7">
        <v>1</v>
      </c>
      <c r="C26" s="33" t="s">
        <v>377</v>
      </c>
      <c r="D26" s="33" t="s">
        <v>358</v>
      </c>
      <c r="E26" s="33" t="s">
        <v>301</v>
      </c>
      <c r="F26" s="8" t="str">
        <f>INDEX(Parts!$B$3:$B$44,MATCH($E26,Parts!$A$3:$A$44,0))</f>
        <v>SDNT1005X103F3950FTF</v>
      </c>
      <c r="G26" s="8" t="str">
        <f>INDEX(Parts!$E$3:$E$44,MATCH($E26,Parts!$A$3:$A$44,0))</f>
        <v>Extended</v>
      </c>
      <c r="H26" s="34">
        <f>INDEX(Parts!$F$3:$F$44,MATCH($E26,Parts!$A$3:$A$44,0))</f>
        <v>73099</v>
      </c>
      <c r="I26" s="35">
        <f>INDEX(Parts!$G$3:$G$44,MATCH($E26,Parts!$A$3:$A$44,0))</f>
        <v>1.66E-2</v>
      </c>
      <c r="J26" s="23">
        <f t="shared" si="0"/>
        <v>1.66E-2</v>
      </c>
      <c r="K26" s="33" t="str">
        <f>IF(INDEX(Parts!$H$3:$H$44,MATCH($E26,Parts!$A$3:$A$44,0))="No","JLC assembly","PRE-ORDER")</f>
        <v>JLC assembly</v>
      </c>
      <c r="L26" s="33" t="str">
        <f>IF(H26&lt;B26*Summary!$B$5,"SHORT",IF(H26&lt;Summary!$B$8,"Thin","OK"))</f>
        <v>OK</v>
      </c>
      <c r="M26" s="32" t="s">
        <v>304</v>
      </c>
    </row>
    <row r="27" spans="1:13" x14ac:dyDescent="0.25">
      <c r="A27" s="33" t="s">
        <v>378</v>
      </c>
      <c r="B27" s="7">
        <v>1</v>
      </c>
      <c r="C27" s="33" t="s">
        <v>277</v>
      </c>
      <c r="D27" s="33" t="s">
        <v>379</v>
      </c>
      <c r="E27" s="33" t="s">
        <v>276</v>
      </c>
      <c r="F27" s="8" t="str">
        <f>INDEX(Parts!$B$3:$B$44,MATCH($E27,Parts!$A$3:$A$44,0))</f>
        <v>ETA6003Q3Q</v>
      </c>
      <c r="G27" s="8" t="str">
        <f>INDEX(Parts!$E$3:$E$44,MATCH($E27,Parts!$A$3:$A$44,0))</f>
        <v>Extended</v>
      </c>
      <c r="H27" s="34">
        <f>INDEX(Parts!$F$3:$F$44,MATCH($E27,Parts!$A$3:$A$44,0))</f>
        <v>2234</v>
      </c>
      <c r="I27" s="35">
        <f>INDEX(Parts!$G$3:$G$44,MATCH($E27,Parts!$A$3:$A$44,0))</f>
        <v>0.51819999999999999</v>
      </c>
      <c r="J27" s="23">
        <f t="shared" si="0"/>
        <v>0.51819999999999999</v>
      </c>
      <c r="K27" s="33" t="str">
        <f>IF(INDEX(Parts!$H$3:$H$44,MATCH($E27,Parts!$A$3:$A$44,0))="No","JLC assembly","PRE-ORDER")</f>
        <v>JLC assembly</v>
      </c>
      <c r="L27" s="33" t="str">
        <f>IF(H27&lt;B27*Summary!$B$5,"SHORT",IF(H27&lt;Summary!$B$8,"Thin","OK"))</f>
        <v>Thin</v>
      </c>
      <c r="M27" s="32" t="s">
        <v>280</v>
      </c>
    </row>
    <row r="28" spans="1:13" x14ac:dyDescent="0.25">
      <c r="A28" s="33" t="s">
        <v>380</v>
      </c>
      <c r="B28" s="7">
        <v>1</v>
      </c>
      <c r="C28" s="33" t="s">
        <v>381</v>
      </c>
      <c r="D28" s="33" t="s">
        <v>382</v>
      </c>
      <c r="E28" s="33" t="s">
        <v>131</v>
      </c>
      <c r="F28" s="8" t="str">
        <f>INDEX(Parts!$B$3:$B$44,MATCH($E28,Parts!$A$3:$A$44,0))</f>
        <v>TPS63020DSJR</v>
      </c>
      <c r="G28" s="8" t="str">
        <f>INDEX(Parts!$E$3:$E$44,MATCH($E28,Parts!$A$3:$A$44,0))</f>
        <v>Extended</v>
      </c>
      <c r="H28" s="34">
        <f>INDEX(Parts!$F$3:$F$44,MATCH($E28,Parts!$A$3:$A$44,0))</f>
        <v>13311</v>
      </c>
      <c r="I28" s="35">
        <f>INDEX(Parts!$G$3:$G$44,MATCH($E28,Parts!$A$3:$A$44,0))</f>
        <v>0.95840000000000003</v>
      </c>
      <c r="J28" s="23">
        <f t="shared" si="0"/>
        <v>0.95840000000000003</v>
      </c>
      <c r="K28" s="33" t="str">
        <f>IF(INDEX(Parts!$H$3:$H$44,MATCH($E28,Parts!$A$3:$A$44,0))="No","JLC assembly","PRE-ORDER")</f>
        <v>JLC assembly</v>
      </c>
      <c r="L28" s="33" t="str">
        <f>IF(H28&lt;B28*Summary!$B$5,"SHORT",IF(H28&lt;Summary!$B$8,"Thin","OK"))</f>
        <v>OK</v>
      </c>
      <c r="M28" s="32" t="s">
        <v>134</v>
      </c>
    </row>
    <row r="29" spans="1:13" x14ac:dyDescent="0.25">
      <c r="A29" s="33" t="s">
        <v>383</v>
      </c>
      <c r="B29" s="7">
        <v>1</v>
      </c>
      <c r="C29" s="33" t="s">
        <v>195</v>
      </c>
      <c r="D29" s="33" t="s">
        <v>384</v>
      </c>
      <c r="E29" s="33" t="s">
        <v>194</v>
      </c>
      <c r="F29" s="8" t="str">
        <f>INDEX(Parts!$B$3:$B$44,MATCH($E29,Parts!$A$3:$A$44,0))</f>
        <v>USBLC6-2SC6</v>
      </c>
      <c r="G29" s="8" t="str">
        <f>INDEX(Parts!$E$3:$E$44,MATCH($E29,Parts!$A$3:$A$44,0))</f>
        <v>Extended</v>
      </c>
      <c r="H29" s="34">
        <f>INDEX(Parts!$F$3:$F$44,MATCH($E29,Parts!$A$3:$A$44,0))</f>
        <v>79405</v>
      </c>
      <c r="I29" s="35">
        <f>INDEX(Parts!$G$3:$G$44,MATCH($E29,Parts!$A$3:$A$44,0))</f>
        <v>4.7500000000000001E-2</v>
      </c>
      <c r="J29" s="23">
        <f t="shared" si="0"/>
        <v>4.7500000000000001E-2</v>
      </c>
      <c r="K29" s="33" t="str">
        <f>IF(INDEX(Parts!$H$3:$H$44,MATCH($E29,Parts!$A$3:$A$44,0))="No","JLC assembly","PRE-ORDER")</f>
        <v>JLC assembly</v>
      </c>
      <c r="L29" s="33" t="str">
        <f>IF(H29&lt;B29*Summary!$B$5,"SHORT",IF(H29&lt;Summary!$B$8,"Thin","OK"))</f>
        <v>OK</v>
      </c>
      <c r="M29" s="32" t="s">
        <v>198</v>
      </c>
    </row>
    <row r="30" spans="1:13" x14ac:dyDescent="0.25">
      <c r="A30" s="33" t="s">
        <v>385</v>
      </c>
      <c r="B30" s="7">
        <v>4</v>
      </c>
      <c r="C30" s="33" t="s">
        <v>118</v>
      </c>
      <c r="D30" s="33" t="s">
        <v>386</v>
      </c>
      <c r="E30" s="33" t="s">
        <v>117</v>
      </c>
      <c r="F30" s="8" t="str">
        <f>INDEX(Parts!$B$3:$B$44,MATCH($E30,Parts!$A$3:$A$44,0))</f>
        <v>DRV8830DGQR</v>
      </c>
      <c r="G30" s="8" t="str">
        <f>INDEX(Parts!$E$3:$E$44,MATCH($E30,Parts!$A$3:$A$44,0))</f>
        <v>Extended</v>
      </c>
      <c r="H30" s="34">
        <f>INDEX(Parts!$F$3:$F$44,MATCH($E30,Parts!$A$3:$A$44,0))</f>
        <v>129</v>
      </c>
      <c r="I30" s="35">
        <f>INDEX(Parts!$G$3:$G$44,MATCH($E30,Parts!$A$3:$A$44,0))</f>
        <v>2.7355</v>
      </c>
      <c r="J30" s="23">
        <f t="shared" si="0"/>
        <v>10.942</v>
      </c>
      <c r="K30" s="33" t="str">
        <f>IF(INDEX(Parts!$H$3:$H$44,MATCH($E30,Parts!$A$3:$A$44,0))="No","JLC assembly","PRE-ORDER")</f>
        <v>JLC assembly</v>
      </c>
      <c r="L30" s="33" t="str">
        <f>IF(H30&lt;B30*Summary!$B$5,"SHORT",IF(H30&lt;Summary!$B$8,"Thin","OK"))</f>
        <v>Thin</v>
      </c>
      <c r="M30" s="32" t="s">
        <v>124</v>
      </c>
    </row>
    <row r="31" spans="1:13" x14ac:dyDescent="0.25">
      <c r="A31" s="33" t="s">
        <v>387</v>
      </c>
      <c r="B31" s="7">
        <v>1</v>
      </c>
      <c r="C31" s="33" t="s">
        <v>388</v>
      </c>
      <c r="D31" s="33" t="s">
        <v>389</v>
      </c>
      <c r="E31" s="33"/>
      <c r="F31" s="36"/>
      <c r="G31" s="36"/>
      <c r="H31" s="36"/>
      <c r="I31" s="21">
        <v>0</v>
      </c>
      <c r="J31" s="23">
        <f t="shared" si="0"/>
        <v>0</v>
      </c>
      <c r="K31" s="33" t="s">
        <v>390</v>
      </c>
      <c r="L31" s="33" t="s">
        <v>391</v>
      </c>
    </row>
    <row r="32" spans="1:13" x14ac:dyDescent="0.25">
      <c r="A32" s="33" t="s">
        <v>392</v>
      </c>
      <c r="B32" s="7">
        <v>1</v>
      </c>
      <c r="C32" s="33" t="s">
        <v>393</v>
      </c>
      <c r="D32" s="33" t="s">
        <v>389</v>
      </c>
      <c r="E32" s="33"/>
      <c r="F32" s="36"/>
      <c r="G32" s="36"/>
      <c r="H32" s="36"/>
      <c r="I32" s="21">
        <v>0</v>
      </c>
      <c r="J32" s="23">
        <f t="shared" si="0"/>
        <v>0</v>
      </c>
      <c r="K32" s="33" t="s">
        <v>390</v>
      </c>
      <c r="L32" s="33" t="s">
        <v>391</v>
      </c>
    </row>
    <row r="34" spans="1:10" x14ac:dyDescent="0.25">
      <c r="A34" s="12" t="s">
        <v>394</v>
      </c>
      <c r="B34" s="12">
        <f>SUM(B3:B32)</f>
        <v>63</v>
      </c>
      <c r="J34" s="17">
        <f>SUM(J3:J32)</f>
        <v>16.632100000000001</v>
      </c>
    </row>
    <row r="35" spans="1:10" x14ac:dyDescent="0.25">
      <c r="A35" s="3" t="s">
        <v>395</v>
      </c>
      <c r="B35" s="37">
        <f>COUNTIF(G3:G32,"Extended")</f>
        <v>18</v>
      </c>
    </row>
    <row r="36" spans="1:10" x14ac:dyDescent="0.25">
      <c r="A36" s="3" t="s">
        <v>396</v>
      </c>
      <c r="B36" s="37">
        <f>COUNTBLANK(E3:E32)</f>
        <v>2</v>
      </c>
    </row>
    <row r="37" spans="1:10" x14ac:dyDescent="0.25">
      <c r="A37" s="3" t="s">
        <v>397</v>
      </c>
      <c r="B37" s="37">
        <f>COUNTIF(L3:L32,"Thin")+COUNTIF(L3:L32,"SHORT")</f>
        <v>3</v>
      </c>
    </row>
    <row r="38" spans="1:10" x14ac:dyDescent="0.25">
      <c r="A38" s="3" t="s">
        <v>398</v>
      </c>
      <c r="B38" s="37">
        <f>COUNTIF(L3:L32,"SHORT")</f>
        <v>0</v>
      </c>
    </row>
  </sheetData>
  <hyperlinks>
    <hyperlink ref="M3" r:id="rId1" xr:uid="{00000000-0004-0000-0300-000000000000}"/>
    <hyperlink ref="M4" r:id="rId2" xr:uid="{00000000-0004-0000-0300-000001000000}"/>
    <hyperlink ref="M5" r:id="rId3" xr:uid="{00000000-0004-0000-0300-000002000000}"/>
    <hyperlink ref="M6" r:id="rId4" xr:uid="{00000000-0004-0000-0300-000003000000}"/>
    <hyperlink ref="M7" r:id="rId5" xr:uid="{00000000-0004-0000-0300-000004000000}"/>
    <hyperlink ref="M8" r:id="rId6" xr:uid="{00000000-0004-0000-0300-000005000000}"/>
    <hyperlink ref="M9" r:id="rId7" xr:uid="{00000000-0004-0000-0300-000006000000}"/>
    <hyperlink ref="M10" r:id="rId8" xr:uid="{00000000-0004-0000-0300-000007000000}"/>
    <hyperlink ref="M11" r:id="rId9" xr:uid="{00000000-0004-0000-0300-000008000000}"/>
    <hyperlink ref="M12" r:id="rId10" xr:uid="{00000000-0004-0000-0300-000009000000}"/>
    <hyperlink ref="M13" r:id="rId11" xr:uid="{00000000-0004-0000-0300-00000A000000}"/>
    <hyperlink ref="M14" r:id="rId12" xr:uid="{00000000-0004-0000-0300-00000B000000}"/>
    <hyperlink ref="M15" r:id="rId13" xr:uid="{00000000-0004-0000-0300-00000C000000}"/>
    <hyperlink ref="M16" r:id="rId14" xr:uid="{00000000-0004-0000-0300-00000D000000}"/>
    <hyperlink ref="M17" r:id="rId15" xr:uid="{00000000-0004-0000-0300-00000E000000}"/>
    <hyperlink ref="M18" r:id="rId16" xr:uid="{00000000-0004-0000-0300-00000F000000}"/>
    <hyperlink ref="M19" r:id="rId17" xr:uid="{00000000-0004-0000-0300-000010000000}"/>
    <hyperlink ref="M20" r:id="rId18" xr:uid="{00000000-0004-0000-0300-000011000000}"/>
    <hyperlink ref="M21" r:id="rId19" xr:uid="{00000000-0004-0000-0300-000012000000}"/>
    <hyperlink ref="M22" r:id="rId20" xr:uid="{00000000-0004-0000-0300-000013000000}"/>
    <hyperlink ref="M23" r:id="rId21" xr:uid="{00000000-0004-0000-0300-000014000000}"/>
    <hyperlink ref="M24" r:id="rId22" xr:uid="{00000000-0004-0000-0300-000015000000}"/>
    <hyperlink ref="M25" r:id="rId23" xr:uid="{00000000-0004-0000-0300-000016000000}"/>
    <hyperlink ref="M26" r:id="rId24" xr:uid="{00000000-0004-0000-0300-000017000000}"/>
    <hyperlink ref="M27" r:id="rId25" xr:uid="{00000000-0004-0000-0300-000018000000}"/>
    <hyperlink ref="M28" r:id="rId26" xr:uid="{00000000-0004-0000-0300-000019000000}"/>
    <hyperlink ref="M29" r:id="rId27" xr:uid="{00000000-0004-0000-0300-00001A000000}"/>
    <hyperlink ref="M30" r:id="rId28" xr:uid="{00000000-0004-0000-0300-00001B000000}"/>
  </hyperlinks>
  <pageMargins left="0.75" right="0.75" top="1" bottom="1" header="0.5" footer="0.5"/>
  <legacy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6" customWidth="1"/>
    <col min="3" max="3" width="22" customWidth="1"/>
    <col min="4" max="4" width="52" customWidth="1"/>
    <col min="5" max="5" width="11" customWidth="1"/>
    <col min="6" max="6" width="24" customWidth="1"/>
    <col min="7" max="7" width="10" customWidth="1"/>
    <col min="8" max="8" width="12" customWidth="1"/>
    <col min="9" max="10" width="14" customWidth="1"/>
    <col min="11" max="11" width="44" customWidth="1"/>
    <col min="12" max="12" width="13" customWidth="1"/>
    <col min="13" max="13" width="60" customWidth="1"/>
  </cols>
  <sheetData>
    <row r="1" spans="1:13" x14ac:dyDescent="0.25">
      <c r="A1" s="2" t="s">
        <v>399</v>
      </c>
    </row>
    <row r="2" spans="1:13" ht="25.5" x14ac:dyDescent="0.25">
      <c r="A2" s="5" t="s">
        <v>311</v>
      </c>
      <c r="B2" s="5" t="s">
        <v>312</v>
      </c>
      <c r="C2" s="5" t="s">
        <v>313</v>
      </c>
      <c r="D2" s="5" t="s">
        <v>314</v>
      </c>
      <c r="E2" s="5" t="s">
        <v>105</v>
      </c>
      <c r="F2" s="5" t="s">
        <v>106</v>
      </c>
      <c r="G2" s="5" t="s">
        <v>109</v>
      </c>
      <c r="H2" s="5" t="s">
        <v>110</v>
      </c>
      <c r="I2" s="5" t="s">
        <v>77</v>
      </c>
      <c r="J2" s="5" t="s">
        <v>315</v>
      </c>
      <c r="K2" s="5" t="s">
        <v>316</v>
      </c>
      <c r="L2" s="5" t="s">
        <v>115</v>
      </c>
      <c r="M2" s="5" t="s">
        <v>116</v>
      </c>
    </row>
    <row r="3" spans="1:13" x14ac:dyDescent="0.25">
      <c r="A3" s="33" t="s">
        <v>400</v>
      </c>
      <c r="B3" s="7">
        <v>1</v>
      </c>
      <c r="C3" s="33" t="s">
        <v>324</v>
      </c>
      <c r="D3" s="33" t="s">
        <v>319</v>
      </c>
      <c r="E3" s="33" t="s">
        <v>268</v>
      </c>
      <c r="F3" s="8" t="str">
        <f>INDEX(Parts!$B$3:$B$44,MATCH($E3,Parts!$A$3:$A$44,0))</f>
        <v>CL21A226MAQNNNE</v>
      </c>
      <c r="G3" s="8" t="str">
        <f>INDEX(Parts!$E$3:$E$44,MATCH($E3,Parts!$A$3:$A$44,0))</f>
        <v>Basic</v>
      </c>
      <c r="H3" s="34">
        <f>INDEX(Parts!$F$3:$F$44,MATCH($E3,Parts!$A$3:$A$44,0))</f>
        <v>5276598</v>
      </c>
      <c r="I3" s="35">
        <f>INDEX(Parts!$G$3:$G$44,MATCH($E3,Parts!$A$3:$A$44,0))</f>
        <v>0.2492</v>
      </c>
      <c r="J3" s="23">
        <f t="shared" ref="J3:J17" si="0">B3*I3</f>
        <v>0.2492</v>
      </c>
      <c r="K3" s="33" t="str">
        <f>IF(INDEX(Parts!$H$3:$H$44,MATCH($E3,Parts!$A$3:$A$44,0))="No","JLC assembly","PRE-ORDER")</f>
        <v>JLC assembly</v>
      </c>
      <c r="L3" s="33" t="str">
        <f>IF(H3&lt;B3*Summary!$B$5,"SHORT",IF(H3&lt;Summary!$B$8,"Thin","OK"))</f>
        <v>OK</v>
      </c>
      <c r="M3" s="32" t="s">
        <v>271</v>
      </c>
    </row>
    <row r="4" spans="1:13" x14ac:dyDescent="0.25">
      <c r="A4" s="33" t="s">
        <v>401</v>
      </c>
      <c r="B4" s="7">
        <v>4</v>
      </c>
      <c r="C4" s="33" t="s">
        <v>318</v>
      </c>
      <c r="D4" s="33" t="s">
        <v>319</v>
      </c>
      <c r="E4" s="33" t="s">
        <v>135</v>
      </c>
      <c r="F4" s="8" t="str">
        <f>INDEX(Parts!$B$3:$B$44,MATCH($E4,Parts!$A$3:$A$44,0))</f>
        <v>CL21A106KAYNNNE</v>
      </c>
      <c r="G4" s="8" t="str">
        <f>INDEX(Parts!$E$3:$E$44,MATCH($E4,Parts!$A$3:$A$44,0))</f>
        <v>Basic</v>
      </c>
      <c r="H4" s="34">
        <f>INDEX(Parts!$F$3:$F$44,MATCH($E4,Parts!$A$3:$A$44,0))</f>
        <v>7849987</v>
      </c>
      <c r="I4" s="35">
        <f>INDEX(Parts!$G$3:$G$44,MATCH($E4,Parts!$A$3:$A$44,0))</f>
        <v>8.4699999999999998E-2</v>
      </c>
      <c r="J4" s="23">
        <f t="shared" si="0"/>
        <v>0.33879999999999999</v>
      </c>
      <c r="K4" s="33" t="str">
        <f>IF(INDEX(Parts!$H$3:$H$44,MATCH($E4,Parts!$A$3:$A$44,0))="No","JLC assembly","PRE-ORDER")</f>
        <v>JLC assembly</v>
      </c>
      <c r="L4" s="33" t="str">
        <f>IF(H4&lt;B4*Summary!$B$5,"SHORT",IF(H4&lt;Summary!$B$8,"Thin","OK"))</f>
        <v>OK</v>
      </c>
      <c r="M4" s="32" t="s">
        <v>138</v>
      </c>
    </row>
    <row r="5" spans="1:13" x14ac:dyDescent="0.25">
      <c r="A5" s="33" t="s">
        <v>402</v>
      </c>
      <c r="B5" s="7">
        <v>5</v>
      </c>
      <c r="C5" s="33" t="s">
        <v>326</v>
      </c>
      <c r="D5" s="33" t="s">
        <v>322</v>
      </c>
      <c r="E5" s="33" t="s">
        <v>125</v>
      </c>
      <c r="F5" s="8" t="str">
        <f>INDEX(Parts!$B$3:$B$44,MATCH($E5,Parts!$A$3:$A$44,0))</f>
        <v>CL05B104KO5NNNC</v>
      </c>
      <c r="G5" s="8" t="str">
        <f>INDEX(Parts!$E$3:$E$44,MATCH($E5,Parts!$A$3:$A$44,0))</f>
        <v>Basic</v>
      </c>
      <c r="H5" s="34">
        <f>INDEX(Parts!$F$3:$F$44,MATCH($E5,Parts!$A$3:$A$44,0))</f>
        <v>37375769</v>
      </c>
      <c r="I5" s="35">
        <f>INDEX(Parts!$G$3:$G$44,MATCH($E5,Parts!$A$3:$A$44,0))</f>
        <v>5.1000000000000004E-3</v>
      </c>
      <c r="J5" s="23">
        <f t="shared" si="0"/>
        <v>2.5500000000000002E-2</v>
      </c>
      <c r="K5" s="33" t="str">
        <f>IF(INDEX(Parts!$H$3:$H$44,MATCH($E5,Parts!$A$3:$A$44,0))="No","JLC assembly","PRE-ORDER")</f>
        <v>JLC assembly</v>
      </c>
      <c r="L5" s="33" t="str">
        <f>IF(H5&lt;B5*Summary!$B$5,"SHORT",IF(H5&lt;Summary!$B$8,"Thin","OK"))</f>
        <v>OK</v>
      </c>
      <c r="M5" s="32" t="s">
        <v>130</v>
      </c>
    </row>
    <row r="6" spans="1:13" x14ac:dyDescent="0.25">
      <c r="A6" s="33" t="s">
        <v>403</v>
      </c>
      <c r="B6" s="7">
        <v>1</v>
      </c>
      <c r="C6" s="33" t="s">
        <v>321</v>
      </c>
      <c r="D6" s="33" t="s">
        <v>322</v>
      </c>
      <c r="E6" s="33" t="s">
        <v>272</v>
      </c>
      <c r="F6" s="8" t="str">
        <f>INDEX(Parts!$B$3:$B$44,MATCH($E6,Parts!$A$3:$A$44,0))</f>
        <v>CL05A105KA5NQNC</v>
      </c>
      <c r="G6" s="8" t="str">
        <f>INDEX(Parts!$E$3:$E$44,MATCH($E6,Parts!$A$3:$A$44,0))</f>
        <v>Basic</v>
      </c>
      <c r="H6" s="34">
        <f>INDEX(Parts!$F$3:$F$44,MATCH($E6,Parts!$A$3:$A$44,0))</f>
        <v>10724896</v>
      </c>
      <c r="I6" s="35">
        <f>INDEX(Parts!$G$3:$G$44,MATCH($E6,Parts!$A$3:$A$44,0))</f>
        <v>1.21E-2</v>
      </c>
      <c r="J6" s="23">
        <f t="shared" si="0"/>
        <v>1.21E-2</v>
      </c>
      <c r="K6" s="33" t="str">
        <f>IF(INDEX(Parts!$H$3:$H$44,MATCH($E6,Parts!$A$3:$A$44,0))="No","JLC assembly","PRE-ORDER")</f>
        <v>JLC assembly</v>
      </c>
      <c r="L6" s="33" t="str">
        <f>IF(H6&lt;B6*Summary!$B$5,"SHORT",IF(H6&lt;Summary!$B$8,"Thin","OK"))</f>
        <v>OK</v>
      </c>
      <c r="M6" s="32" t="s">
        <v>275</v>
      </c>
    </row>
    <row r="7" spans="1:13" x14ac:dyDescent="0.25">
      <c r="A7" s="33" t="s">
        <v>404</v>
      </c>
      <c r="B7" s="7">
        <v>1</v>
      </c>
      <c r="C7" s="33" t="s">
        <v>405</v>
      </c>
      <c r="D7" s="33" t="s">
        <v>406</v>
      </c>
      <c r="E7" s="33" t="s">
        <v>209</v>
      </c>
      <c r="F7" s="8" t="str">
        <f>INDEX(Parts!$B$3:$B$44,MATCH($E7,Parts!$A$3:$A$44,0))</f>
        <v>0.5K-AS-22PWB</v>
      </c>
      <c r="G7" s="8" t="str">
        <f>INDEX(Parts!$E$3:$E$44,MATCH($E7,Parts!$A$3:$A$44,0))</f>
        <v>Extended</v>
      </c>
      <c r="H7" s="34">
        <f>INDEX(Parts!$F$3:$F$44,MATCH($E7,Parts!$A$3:$A$44,0))</f>
        <v>473</v>
      </c>
      <c r="I7" s="35">
        <f>INDEX(Parts!$G$3:$G$44,MATCH($E7,Parts!$A$3:$A$44,0))</f>
        <v>0.13550000000000001</v>
      </c>
      <c r="J7" s="23">
        <f t="shared" si="0"/>
        <v>0.13550000000000001</v>
      </c>
      <c r="K7" s="33" t="str">
        <f>IF(INDEX(Parts!$H$3:$H$44,MATCH($E7,Parts!$A$3:$A$44,0))="No","JLC assembly","PRE-ORDER")</f>
        <v>JLC assembly</v>
      </c>
      <c r="L7" s="33" t="str">
        <f>IF(H7&lt;B7*Summary!$B$5,"SHORT",IF(H7&lt;Summary!$B$8,"Thin","OK"))</f>
        <v>Thin</v>
      </c>
      <c r="M7" s="32" t="s">
        <v>213</v>
      </c>
    </row>
    <row r="8" spans="1:13" x14ac:dyDescent="0.25">
      <c r="A8" s="33" t="s">
        <v>342</v>
      </c>
      <c r="B8" s="7">
        <v>1</v>
      </c>
      <c r="C8" s="33" t="s">
        <v>407</v>
      </c>
      <c r="D8" s="33" t="s">
        <v>408</v>
      </c>
      <c r="E8" s="33" t="s">
        <v>241</v>
      </c>
      <c r="F8" s="8" t="str">
        <f>INDEX(Parts!$B$3:$B$44,MATCH($E8,Parts!$A$3:$A$44,0))</f>
        <v>WAFER-GH1.25-6PWB</v>
      </c>
      <c r="G8" s="8" t="str">
        <f>INDEX(Parts!$E$3:$E$44,MATCH($E8,Parts!$A$3:$A$44,0))</f>
        <v>Extended</v>
      </c>
      <c r="H8" s="34">
        <f>INDEX(Parts!$F$3:$F$44,MATCH($E8,Parts!$A$3:$A$44,0))</f>
        <v>32531</v>
      </c>
      <c r="I8" s="35">
        <f>INDEX(Parts!$G$3:$G$44,MATCH($E8,Parts!$A$3:$A$44,0))</f>
        <v>0.1605</v>
      </c>
      <c r="J8" s="23">
        <f t="shared" si="0"/>
        <v>0.1605</v>
      </c>
      <c r="K8" s="33" t="str">
        <f>IF(INDEX(Parts!$H$3:$H$44,MATCH($E8,Parts!$A$3:$A$44,0))="No","JLC assembly","PRE-ORDER")</f>
        <v>JLC assembly</v>
      </c>
      <c r="L8" s="33" t="str">
        <f>IF(H8&lt;B8*Summary!$B$5,"SHORT",IF(H8&lt;Summary!$B$8,"Thin","OK"))</f>
        <v>OK</v>
      </c>
      <c r="M8" s="32" t="s">
        <v>244</v>
      </c>
    </row>
    <row r="9" spans="1:13" x14ac:dyDescent="0.25">
      <c r="A9" s="33" t="s">
        <v>409</v>
      </c>
      <c r="B9" s="7">
        <v>1</v>
      </c>
      <c r="C9" s="33" t="s">
        <v>410</v>
      </c>
      <c r="D9" s="33" t="s">
        <v>411</v>
      </c>
      <c r="E9" s="33" t="s">
        <v>229</v>
      </c>
      <c r="F9" s="8" t="str">
        <f>INDEX(Parts!$B$3:$B$44,MATCH($E9,Parts!$A$3:$A$44,0))</f>
        <v>WAFER-GH1.25-3PLB</v>
      </c>
      <c r="G9" s="8" t="str">
        <f>INDEX(Parts!$E$3:$E$44,MATCH($E9,Parts!$A$3:$A$44,0))</f>
        <v>Extended</v>
      </c>
      <c r="H9" s="34">
        <f>INDEX(Parts!$F$3:$F$44,MATCH($E9,Parts!$A$3:$A$44,0))</f>
        <v>15257</v>
      </c>
      <c r="I9" s="35">
        <f>INDEX(Parts!$G$3:$G$44,MATCH($E9,Parts!$A$3:$A$44,0))</f>
        <v>0.1467</v>
      </c>
      <c r="J9" s="23">
        <f t="shared" si="0"/>
        <v>0.1467</v>
      </c>
      <c r="K9" s="33" t="str">
        <f>IF(INDEX(Parts!$H$3:$H$44,MATCH($E9,Parts!$A$3:$A$44,0))="No","JLC assembly","PRE-ORDER")</f>
        <v>JLC assembly</v>
      </c>
      <c r="L9" s="33" t="str">
        <f>IF(H9&lt;B9*Summary!$B$5,"SHORT",IF(H9&lt;Summary!$B$8,"Thin","OK"))</f>
        <v>OK</v>
      </c>
      <c r="M9" s="32" t="s">
        <v>232</v>
      </c>
    </row>
    <row r="10" spans="1:13" x14ac:dyDescent="0.25">
      <c r="A10" s="33" t="s">
        <v>412</v>
      </c>
      <c r="B10" s="7">
        <v>4</v>
      </c>
      <c r="C10" s="33" t="s">
        <v>360</v>
      </c>
      <c r="D10" s="33" t="s">
        <v>358</v>
      </c>
      <c r="E10" s="33" t="s">
        <v>166</v>
      </c>
      <c r="F10" s="8" t="str">
        <f>INDEX(Parts!$B$3:$B$44,MATCH($E10,Parts!$A$3:$A$44,0))</f>
        <v>0402WGF1002TCE</v>
      </c>
      <c r="G10" s="8" t="str">
        <f>INDEX(Parts!$E$3:$E$44,MATCH($E10,Parts!$A$3:$A$44,0))</f>
        <v>Basic</v>
      </c>
      <c r="H10" s="34">
        <f>INDEX(Parts!$F$3:$F$44,MATCH($E10,Parts!$A$3:$A$44,0))</f>
        <v>30863902</v>
      </c>
      <c r="I10" s="35">
        <f>INDEX(Parts!$G$3:$G$44,MATCH($E10,Parts!$A$3:$A$44,0))</f>
        <v>3.0999999999999999E-3</v>
      </c>
      <c r="J10" s="23">
        <f t="shared" si="0"/>
        <v>1.24E-2</v>
      </c>
      <c r="K10" s="33" t="str">
        <f>IF(INDEX(Parts!$H$3:$H$44,MATCH($E10,Parts!$A$3:$A$44,0))="No","JLC assembly","PRE-ORDER")</f>
        <v>JLC assembly</v>
      </c>
      <c r="L10" s="33" t="str">
        <f>IF(H10&lt;B10*Summary!$B$5,"SHORT",IF(H10&lt;Summary!$B$8,"Thin","OK"))</f>
        <v>OK</v>
      </c>
      <c r="M10" s="32" t="s">
        <v>169</v>
      </c>
    </row>
    <row r="11" spans="1:13" x14ac:dyDescent="0.25">
      <c r="A11" s="33" t="s">
        <v>413</v>
      </c>
      <c r="B11" s="7">
        <v>2</v>
      </c>
      <c r="C11" s="33" t="s">
        <v>414</v>
      </c>
      <c r="D11" s="33" t="s">
        <v>358</v>
      </c>
      <c r="E11" s="33" t="s">
        <v>182</v>
      </c>
      <c r="F11" s="8" t="str">
        <f>INDEX(Parts!$B$3:$B$44,MATCH($E11,Parts!$A$3:$A$44,0))</f>
        <v>0402WGF2201TCE</v>
      </c>
      <c r="G11" s="8" t="str">
        <f>INDEX(Parts!$E$3:$E$44,MATCH($E11,Parts!$A$3:$A$44,0))</f>
        <v>Basic</v>
      </c>
      <c r="H11" s="34">
        <f>INDEX(Parts!$F$3:$F$44,MATCH($E11,Parts!$A$3:$A$44,0))</f>
        <v>1612344</v>
      </c>
      <c r="I11" s="35">
        <f>INDEX(Parts!$G$3:$G$44,MATCH($E11,Parts!$A$3:$A$44,0))</f>
        <v>3.8999999999999998E-3</v>
      </c>
      <c r="J11" s="23">
        <f t="shared" si="0"/>
        <v>7.7999999999999996E-3</v>
      </c>
      <c r="K11" s="33" t="str">
        <f>IF(INDEX(Parts!$H$3:$H$44,MATCH($E11,Parts!$A$3:$A$44,0))="No","JLC assembly","PRE-ORDER")</f>
        <v>JLC assembly</v>
      </c>
      <c r="L11" s="33" t="str">
        <f>IF(H11&lt;B11*Summary!$B$5,"SHORT",IF(H11&lt;Summary!$B$8,"Thin","OK"))</f>
        <v>OK</v>
      </c>
      <c r="M11" s="32" t="s">
        <v>185</v>
      </c>
    </row>
    <row r="12" spans="1:13" x14ac:dyDescent="0.25">
      <c r="A12" s="33" t="s">
        <v>415</v>
      </c>
      <c r="B12" s="7">
        <v>1</v>
      </c>
      <c r="C12" s="33" t="s">
        <v>416</v>
      </c>
      <c r="D12" s="33" t="s">
        <v>358</v>
      </c>
      <c r="E12" s="33" t="s">
        <v>153</v>
      </c>
      <c r="F12" s="8" t="str">
        <f>INDEX(Parts!$B$3:$B$44,MATCH($E12,Parts!$A$3:$A$44,0))</f>
        <v>0402WGF1000TCE</v>
      </c>
      <c r="G12" s="8" t="str">
        <f>INDEX(Parts!$E$3:$E$44,MATCH($E12,Parts!$A$3:$A$44,0))</f>
        <v>Basic</v>
      </c>
      <c r="H12" s="34">
        <f>INDEX(Parts!$F$3:$F$44,MATCH($E12,Parts!$A$3:$A$44,0))</f>
        <v>3999877</v>
      </c>
      <c r="I12" s="35">
        <f>INDEX(Parts!$G$3:$G$44,MATCH($E12,Parts!$A$3:$A$44,0))</f>
        <v>3.7000000000000002E-3</v>
      </c>
      <c r="J12" s="23">
        <f t="shared" si="0"/>
        <v>3.7000000000000002E-3</v>
      </c>
      <c r="K12" s="33" t="str">
        <f>IF(INDEX(Parts!$H$3:$H$44,MATCH($E12,Parts!$A$3:$A$44,0))="No","JLC assembly","PRE-ORDER")</f>
        <v>JLC assembly</v>
      </c>
      <c r="L12" s="33" t="str">
        <f>IF(H12&lt;B12*Summary!$B$5,"SHORT",IF(H12&lt;Summary!$B$8,"Thin","OK"))</f>
        <v>OK</v>
      </c>
      <c r="M12" s="32" t="s">
        <v>157</v>
      </c>
    </row>
    <row r="13" spans="1:13" x14ac:dyDescent="0.25">
      <c r="A13" s="33" t="s">
        <v>417</v>
      </c>
      <c r="B13" s="7">
        <v>2</v>
      </c>
      <c r="C13" s="33" t="s">
        <v>292</v>
      </c>
      <c r="D13" s="33" t="s">
        <v>418</v>
      </c>
      <c r="E13" s="33" t="s">
        <v>291</v>
      </c>
      <c r="F13" s="8" t="str">
        <f>INDEX(Parts!$B$3:$B$44,MATCH($E13,Parts!$A$3:$A$44,0))</f>
        <v>ZX-QC4545-4.3TP</v>
      </c>
      <c r="G13" s="8" t="str">
        <f>INDEX(Parts!$E$3:$E$44,MATCH($E13,Parts!$A$3:$A$44,0))</f>
        <v>Extended</v>
      </c>
      <c r="H13" s="34">
        <f>INDEX(Parts!$F$3:$F$44,MATCH($E13,Parts!$A$3:$A$44,0))</f>
        <v>25261</v>
      </c>
      <c r="I13" s="35">
        <f>INDEX(Parts!$G$3:$G$44,MATCH($E13,Parts!$A$3:$A$44,0))</f>
        <v>2.5100000000000001E-2</v>
      </c>
      <c r="J13" s="23">
        <f t="shared" si="0"/>
        <v>5.0200000000000002E-2</v>
      </c>
      <c r="K13" s="33" t="str">
        <f>IF(INDEX(Parts!$H$3:$H$44,MATCH($E13,Parts!$A$3:$A$44,0))="No","JLC assembly","PRE-ORDER")</f>
        <v>JLC assembly</v>
      </c>
      <c r="L13" s="33" t="str">
        <f>IF(H13&lt;B13*Summary!$B$5,"SHORT",IF(H13&lt;Summary!$B$8,"Thin","OK"))</f>
        <v>OK</v>
      </c>
      <c r="M13" s="32" t="s">
        <v>295</v>
      </c>
    </row>
    <row r="14" spans="1:13" x14ac:dyDescent="0.25">
      <c r="A14" s="33" t="s">
        <v>419</v>
      </c>
      <c r="B14" s="7">
        <v>1</v>
      </c>
      <c r="C14" s="33" t="s">
        <v>265</v>
      </c>
      <c r="D14" s="33" t="s">
        <v>420</v>
      </c>
      <c r="E14" s="33" t="s">
        <v>264</v>
      </c>
      <c r="F14" s="8" t="str">
        <f>INDEX(Parts!$B$3:$B$44,MATCH($E14,Parts!$A$3:$A$44,0))</f>
        <v>MSK12C02</v>
      </c>
      <c r="G14" s="8" t="str">
        <f>INDEX(Parts!$E$3:$E$44,MATCH($E14,Parts!$A$3:$A$44,0))</f>
        <v>Extended</v>
      </c>
      <c r="H14" s="34">
        <f>INDEX(Parts!$F$3:$F$44,MATCH($E14,Parts!$A$3:$A$44,0))</f>
        <v>150031</v>
      </c>
      <c r="I14" s="35">
        <f>INDEX(Parts!$G$3:$G$44,MATCH($E14,Parts!$A$3:$A$44,0))</f>
        <v>5.6599999999999998E-2</v>
      </c>
      <c r="J14" s="23">
        <f t="shared" si="0"/>
        <v>5.6599999999999998E-2</v>
      </c>
      <c r="K14" s="33" t="str">
        <f>IF(INDEX(Parts!$H$3:$H$44,MATCH($E14,Parts!$A$3:$A$44,0))="No","JLC assembly","PRE-ORDER")</f>
        <v>JLC assembly</v>
      </c>
      <c r="L14" s="33" t="str">
        <f>IF(H14&lt;B14*Summary!$B$5,"SHORT",IF(H14&lt;Summary!$B$8,"Thin","OK"))</f>
        <v>OK</v>
      </c>
      <c r="M14" s="32" t="s">
        <v>267</v>
      </c>
    </row>
    <row r="15" spans="1:13" x14ac:dyDescent="0.25">
      <c r="A15" s="33" t="s">
        <v>387</v>
      </c>
      <c r="B15" s="7">
        <v>1</v>
      </c>
      <c r="C15" s="33" t="s">
        <v>421</v>
      </c>
      <c r="D15" s="33" t="s">
        <v>422</v>
      </c>
      <c r="E15" s="33"/>
      <c r="F15" s="36"/>
      <c r="G15" s="36"/>
      <c r="H15" s="36"/>
      <c r="I15" s="21">
        <v>0</v>
      </c>
      <c r="J15" s="23">
        <f t="shared" si="0"/>
        <v>0</v>
      </c>
      <c r="K15" s="33" t="s">
        <v>423</v>
      </c>
      <c r="L15" s="33" t="s">
        <v>391</v>
      </c>
    </row>
    <row r="16" spans="1:13" x14ac:dyDescent="0.25">
      <c r="A16" s="33" t="s">
        <v>392</v>
      </c>
      <c r="B16" s="7">
        <v>1</v>
      </c>
      <c r="C16" s="33" t="s">
        <v>424</v>
      </c>
      <c r="D16" s="33" t="s">
        <v>422</v>
      </c>
      <c r="E16" s="33"/>
      <c r="F16" s="36"/>
      <c r="G16" s="36"/>
      <c r="H16" s="36"/>
      <c r="I16" s="21">
        <v>0</v>
      </c>
      <c r="J16" s="23">
        <f t="shared" si="0"/>
        <v>0</v>
      </c>
      <c r="K16" s="33" t="s">
        <v>423</v>
      </c>
      <c r="L16" s="33" t="s">
        <v>391</v>
      </c>
    </row>
    <row r="17" spans="1:13" x14ac:dyDescent="0.25">
      <c r="A17" s="33" t="s">
        <v>380</v>
      </c>
      <c r="B17" s="7">
        <v>1</v>
      </c>
      <c r="C17" s="33" t="s">
        <v>425</v>
      </c>
      <c r="D17" s="33" t="s">
        <v>426</v>
      </c>
      <c r="E17" s="33"/>
      <c r="F17" s="36"/>
      <c r="G17" s="36"/>
      <c r="H17" s="36"/>
      <c r="I17" s="21">
        <v>0</v>
      </c>
      <c r="J17" s="23">
        <f t="shared" si="0"/>
        <v>0</v>
      </c>
      <c r="K17" s="33" t="s">
        <v>427</v>
      </c>
      <c r="L17" s="33" t="s">
        <v>391</v>
      </c>
      <c r="M17" s="32" t="s">
        <v>428</v>
      </c>
    </row>
    <row r="19" spans="1:13" x14ac:dyDescent="0.25">
      <c r="A19" s="12" t="s">
        <v>394</v>
      </c>
      <c r="B19" s="12">
        <f>SUM(B3:B17)</f>
        <v>27</v>
      </c>
      <c r="J19" s="17">
        <f>SUM(J3:J17)</f>
        <v>1.1989999999999998</v>
      </c>
    </row>
    <row r="20" spans="1:13" x14ac:dyDescent="0.25">
      <c r="A20" s="3" t="s">
        <v>395</v>
      </c>
      <c r="B20" s="37">
        <f>COUNTIF(G3:G17,"Extended")</f>
        <v>5</v>
      </c>
    </row>
    <row r="21" spans="1:13" x14ac:dyDescent="0.25">
      <c r="A21" s="3" t="s">
        <v>396</v>
      </c>
      <c r="B21" s="37">
        <f>COUNTBLANK(E3:E17)</f>
        <v>3</v>
      </c>
    </row>
    <row r="22" spans="1:13" x14ac:dyDescent="0.25">
      <c r="A22" s="3" t="s">
        <v>397</v>
      </c>
      <c r="B22" s="37">
        <f>COUNTIF(L3:L17,"Thin")+COUNTIF(L3:L17,"SHORT")</f>
        <v>1</v>
      </c>
    </row>
    <row r="23" spans="1:13" x14ac:dyDescent="0.25">
      <c r="A23" s="3" t="s">
        <v>398</v>
      </c>
      <c r="B23" s="37">
        <f>COUNTIF(L3:L17,"SHORT")</f>
        <v>0</v>
      </c>
    </row>
  </sheetData>
  <hyperlinks>
    <hyperlink ref="M3" r:id="rId1" xr:uid="{00000000-0004-0000-0400-000000000000}"/>
    <hyperlink ref="M4" r:id="rId2" xr:uid="{00000000-0004-0000-0400-000001000000}"/>
    <hyperlink ref="M5" r:id="rId3" xr:uid="{00000000-0004-0000-0400-000002000000}"/>
    <hyperlink ref="M6" r:id="rId4" xr:uid="{00000000-0004-0000-0400-000003000000}"/>
    <hyperlink ref="M7" r:id="rId5" xr:uid="{00000000-0004-0000-0400-000004000000}"/>
    <hyperlink ref="M8" r:id="rId6" xr:uid="{00000000-0004-0000-0400-000005000000}"/>
    <hyperlink ref="M9" r:id="rId7" xr:uid="{00000000-0004-0000-0400-000006000000}"/>
    <hyperlink ref="M10" r:id="rId8" xr:uid="{00000000-0004-0000-0400-000007000000}"/>
    <hyperlink ref="M11" r:id="rId9" xr:uid="{00000000-0004-0000-0400-000008000000}"/>
    <hyperlink ref="M12" r:id="rId10" xr:uid="{00000000-0004-0000-0400-000009000000}"/>
    <hyperlink ref="M13" r:id="rId11" xr:uid="{00000000-0004-0000-0400-00000A000000}"/>
    <hyperlink ref="M14" r:id="rId12" xr:uid="{00000000-0004-0000-0400-00000B000000}"/>
    <hyperlink ref="M17" r:id="rId13" xr:uid="{00000000-0004-0000-0400-00000C000000}"/>
  </hyperlinks>
  <pageMargins left="0.75" right="0.75" top="1" bottom="1" header="0.5" footer="0.5"/>
  <legacy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6" customWidth="1"/>
    <col min="3" max="3" width="22" customWidth="1"/>
    <col min="4" max="4" width="52" customWidth="1"/>
    <col min="5" max="5" width="11" customWidth="1"/>
    <col min="6" max="6" width="24" customWidth="1"/>
    <col min="7" max="7" width="10" customWidth="1"/>
    <col min="8" max="8" width="12" customWidth="1"/>
    <col min="9" max="10" width="14" customWidth="1"/>
    <col min="11" max="11" width="44" customWidth="1"/>
    <col min="12" max="12" width="13" customWidth="1"/>
    <col min="13" max="13" width="60" customWidth="1"/>
  </cols>
  <sheetData>
    <row r="1" spans="1:13" x14ac:dyDescent="0.25">
      <c r="A1" s="2" t="s">
        <v>429</v>
      </c>
    </row>
    <row r="2" spans="1:13" ht="25.5" x14ac:dyDescent="0.25">
      <c r="A2" s="5" t="s">
        <v>311</v>
      </c>
      <c r="B2" s="5" t="s">
        <v>312</v>
      </c>
      <c r="C2" s="5" t="s">
        <v>313</v>
      </c>
      <c r="D2" s="5" t="s">
        <v>314</v>
      </c>
      <c r="E2" s="5" t="s">
        <v>105</v>
      </c>
      <c r="F2" s="5" t="s">
        <v>106</v>
      </c>
      <c r="G2" s="5" t="s">
        <v>109</v>
      </c>
      <c r="H2" s="5" t="s">
        <v>110</v>
      </c>
      <c r="I2" s="5" t="s">
        <v>77</v>
      </c>
      <c r="J2" s="5" t="s">
        <v>315</v>
      </c>
      <c r="K2" s="5" t="s">
        <v>316</v>
      </c>
      <c r="L2" s="5" t="s">
        <v>115</v>
      </c>
      <c r="M2" s="5" t="s">
        <v>116</v>
      </c>
    </row>
    <row r="3" spans="1:13" x14ac:dyDescent="0.25">
      <c r="A3" s="33" t="s">
        <v>430</v>
      </c>
      <c r="B3" s="7">
        <v>5</v>
      </c>
      <c r="C3" s="33" t="s">
        <v>321</v>
      </c>
      <c r="D3" s="33" t="s">
        <v>322</v>
      </c>
      <c r="E3" s="33" t="s">
        <v>272</v>
      </c>
      <c r="F3" s="8" t="str">
        <f>INDEX(Parts!$B$3:$B$44,MATCH($E3,Parts!$A$3:$A$44,0))</f>
        <v>CL05A105KA5NQNC</v>
      </c>
      <c r="G3" s="8" t="str">
        <f>INDEX(Parts!$E$3:$E$44,MATCH($E3,Parts!$A$3:$A$44,0))</f>
        <v>Basic</v>
      </c>
      <c r="H3" s="34">
        <f>INDEX(Parts!$F$3:$F$44,MATCH($E3,Parts!$A$3:$A$44,0))</f>
        <v>10724896</v>
      </c>
      <c r="I3" s="35">
        <f>INDEX(Parts!$G$3:$G$44,MATCH($E3,Parts!$A$3:$A$44,0))</f>
        <v>1.21E-2</v>
      </c>
      <c r="J3" s="23">
        <f t="shared" ref="J3:J15" si="0">B3*I3</f>
        <v>6.0499999999999998E-2</v>
      </c>
      <c r="K3" s="33" t="str">
        <f>IF(INDEX(Parts!$H$3:$H$44,MATCH($E3,Parts!$A$3:$A$44,0))="No","JLC assembly","PRE-ORDER")</f>
        <v>JLC assembly</v>
      </c>
      <c r="L3" s="33" t="str">
        <f>IF(H3&lt;B3*Summary!$B$5,"SHORT",IF(H3&lt;Summary!$B$8,"Thin","OK"))</f>
        <v>OK</v>
      </c>
      <c r="M3" s="32" t="s">
        <v>275</v>
      </c>
    </row>
    <row r="4" spans="1:13" x14ac:dyDescent="0.25">
      <c r="A4" s="33" t="s">
        <v>431</v>
      </c>
      <c r="B4" s="7">
        <v>1</v>
      </c>
      <c r="C4" s="33" t="s">
        <v>432</v>
      </c>
      <c r="D4" s="33" t="s">
        <v>433</v>
      </c>
      <c r="E4" s="33" t="s">
        <v>144</v>
      </c>
      <c r="F4" s="8" t="str">
        <f>INDEX(Parts!$B$3:$B$44,MATCH($E4,Parts!$A$3:$A$44,0))</f>
        <v>CL10A475KO8NNNC</v>
      </c>
      <c r="G4" s="8" t="str">
        <f>INDEX(Parts!$E$3:$E$44,MATCH($E4,Parts!$A$3:$A$44,0))</f>
        <v>Basic</v>
      </c>
      <c r="H4" s="34">
        <f>INDEX(Parts!$F$3:$F$44,MATCH($E4,Parts!$A$3:$A$44,0))</f>
        <v>4016851</v>
      </c>
      <c r="I4" s="35">
        <f>INDEX(Parts!$G$3:$G$44,MATCH($E4,Parts!$A$3:$A$44,0))</f>
        <v>3.3300000000000003E-2</v>
      </c>
      <c r="J4" s="23">
        <f t="shared" si="0"/>
        <v>3.3300000000000003E-2</v>
      </c>
      <c r="K4" s="33" t="str">
        <f>IF(INDEX(Parts!$H$3:$H$44,MATCH($E4,Parts!$A$3:$A$44,0))="No","JLC assembly","PRE-ORDER")</f>
        <v>JLC assembly</v>
      </c>
      <c r="L4" s="33" t="str">
        <f>IF(H4&lt;B4*Summary!$B$5,"SHORT",IF(H4&lt;Summary!$B$8,"Thin","OK"))</f>
        <v>OK</v>
      </c>
      <c r="M4" s="32" t="s">
        <v>147</v>
      </c>
    </row>
    <row r="5" spans="1:13" x14ac:dyDescent="0.25">
      <c r="A5" s="33" t="s">
        <v>434</v>
      </c>
      <c r="B5" s="7">
        <v>3</v>
      </c>
      <c r="C5" s="33" t="s">
        <v>326</v>
      </c>
      <c r="D5" s="33" t="s">
        <v>322</v>
      </c>
      <c r="E5" s="33" t="s">
        <v>125</v>
      </c>
      <c r="F5" s="8" t="str">
        <f>INDEX(Parts!$B$3:$B$44,MATCH($E5,Parts!$A$3:$A$44,0))</f>
        <v>CL05B104KO5NNNC</v>
      </c>
      <c r="G5" s="8" t="str">
        <f>INDEX(Parts!$E$3:$E$44,MATCH($E5,Parts!$A$3:$A$44,0))</f>
        <v>Basic</v>
      </c>
      <c r="H5" s="34">
        <f>INDEX(Parts!$F$3:$F$44,MATCH($E5,Parts!$A$3:$A$44,0))</f>
        <v>37375769</v>
      </c>
      <c r="I5" s="35">
        <f>INDEX(Parts!$G$3:$G$44,MATCH($E5,Parts!$A$3:$A$44,0))</f>
        <v>5.1000000000000004E-3</v>
      </c>
      <c r="J5" s="23">
        <f t="shared" si="0"/>
        <v>1.5300000000000001E-2</v>
      </c>
      <c r="K5" s="33" t="str">
        <f>IF(INDEX(Parts!$H$3:$H$44,MATCH($E5,Parts!$A$3:$A$44,0))="No","JLC assembly","PRE-ORDER")</f>
        <v>JLC assembly</v>
      </c>
      <c r="L5" s="33" t="str">
        <f>IF(H5&lt;B5*Summary!$B$5,"SHORT",IF(H5&lt;Summary!$B$8,"Thin","OK"))</f>
        <v>OK</v>
      </c>
      <c r="M5" s="32" t="s">
        <v>130</v>
      </c>
    </row>
    <row r="6" spans="1:13" x14ac:dyDescent="0.25">
      <c r="A6" s="33" t="s">
        <v>435</v>
      </c>
      <c r="B6" s="7">
        <v>2</v>
      </c>
      <c r="C6" s="33" t="s">
        <v>436</v>
      </c>
      <c r="D6" s="33" t="s">
        <v>433</v>
      </c>
      <c r="E6" s="33" t="s">
        <v>139</v>
      </c>
      <c r="F6" s="8" t="str">
        <f>INDEX(Parts!$B$3:$B$44,MATCH($E6,Parts!$A$3:$A$44,0))</f>
        <v>CL10C220JB8NNNC</v>
      </c>
      <c r="G6" s="8" t="str">
        <f>INDEX(Parts!$E$3:$E$44,MATCH($E6,Parts!$A$3:$A$44,0))</f>
        <v>Basic</v>
      </c>
      <c r="H6" s="34">
        <f>INDEX(Parts!$F$3:$F$44,MATCH($E6,Parts!$A$3:$A$44,0))</f>
        <v>2640152</v>
      </c>
      <c r="I6" s="35">
        <f>INDEX(Parts!$G$3:$G$44,MATCH($E6,Parts!$A$3:$A$44,0))</f>
        <v>6.7999999999999996E-3</v>
      </c>
      <c r="J6" s="23">
        <f t="shared" si="0"/>
        <v>1.3599999999999999E-2</v>
      </c>
      <c r="K6" s="33" t="str">
        <f>IF(INDEX(Parts!$H$3:$H$44,MATCH($E6,Parts!$A$3:$A$44,0))="No","JLC assembly","PRE-ORDER")</f>
        <v>JLC assembly</v>
      </c>
      <c r="L6" s="33" t="str">
        <f>IF(H6&lt;B6*Summary!$B$5,"SHORT",IF(H6&lt;Summary!$B$8,"Thin","OK"))</f>
        <v>OK</v>
      </c>
      <c r="M6" s="32" t="s">
        <v>143</v>
      </c>
    </row>
    <row r="7" spans="1:13" x14ac:dyDescent="0.25">
      <c r="A7" s="33" t="s">
        <v>333</v>
      </c>
      <c r="B7" s="7">
        <v>1</v>
      </c>
      <c r="C7" s="33" t="s">
        <v>437</v>
      </c>
      <c r="D7" s="33" t="s">
        <v>344</v>
      </c>
      <c r="E7" s="33" t="s">
        <v>233</v>
      </c>
      <c r="F7" s="8" t="str">
        <f>INDEX(Parts!$B$3:$B$44,MATCH($E7,Parts!$A$3:$A$44,0))</f>
        <v>WAFER-GH1.25-10PLB</v>
      </c>
      <c r="G7" s="8" t="str">
        <f>INDEX(Parts!$E$3:$E$44,MATCH($E7,Parts!$A$3:$A$44,0))</f>
        <v>Extended</v>
      </c>
      <c r="H7" s="34">
        <f>INDEX(Parts!$F$3:$F$44,MATCH($E7,Parts!$A$3:$A$44,0))</f>
        <v>1796</v>
      </c>
      <c r="I7" s="35">
        <f>INDEX(Parts!$G$3:$G$44,MATCH($E7,Parts!$A$3:$A$44,0))</f>
        <v>0.21640000000000001</v>
      </c>
      <c r="J7" s="23">
        <f t="shared" si="0"/>
        <v>0.21640000000000001</v>
      </c>
      <c r="K7" s="33" t="str">
        <f>IF(INDEX(Parts!$H$3:$H$44,MATCH($E7,Parts!$A$3:$A$44,0))="No","JLC assembly","PRE-ORDER")</f>
        <v>JLC assembly</v>
      </c>
      <c r="L7" s="33" t="str">
        <f>IF(H7&lt;B7*Summary!$B$5,"SHORT",IF(H7&lt;Summary!$B$8,"Thin","OK"))</f>
        <v>Thin</v>
      </c>
      <c r="M7" s="32" t="s">
        <v>236</v>
      </c>
    </row>
    <row r="8" spans="1:13" x14ac:dyDescent="0.25">
      <c r="A8" s="33" t="s">
        <v>438</v>
      </c>
      <c r="B8" s="7">
        <v>1</v>
      </c>
      <c r="C8" s="33" t="s">
        <v>368</v>
      </c>
      <c r="D8" s="33" t="s">
        <v>358</v>
      </c>
      <c r="E8" s="33" t="s">
        <v>178</v>
      </c>
      <c r="F8" s="8" t="str">
        <f>INDEX(Parts!$B$3:$B$44,MATCH($E8,Parts!$A$3:$A$44,0))</f>
        <v>0402WGF4702TCE</v>
      </c>
      <c r="G8" s="8" t="str">
        <f>INDEX(Parts!$E$3:$E$44,MATCH($E8,Parts!$A$3:$A$44,0))</f>
        <v>Basic</v>
      </c>
      <c r="H8" s="34">
        <f>INDEX(Parts!$F$3:$F$44,MATCH($E8,Parts!$A$3:$A$44,0))</f>
        <v>6406298</v>
      </c>
      <c r="I8" s="35">
        <f>INDEX(Parts!$G$3:$G$44,MATCH($E8,Parts!$A$3:$A$44,0))</f>
        <v>2.8999999999999998E-3</v>
      </c>
      <c r="J8" s="23">
        <f t="shared" si="0"/>
        <v>2.8999999999999998E-3</v>
      </c>
      <c r="K8" s="33" t="str">
        <f>IF(INDEX(Parts!$H$3:$H$44,MATCH($E8,Parts!$A$3:$A$44,0))="No","JLC assembly","PRE-ORDER")</f>
        <v>JLC assembly</v>
      </c>
      <c r="L8" s="33" t="str">
        <f>IF(H8&lt;B8*Summary!$B$5,"SHORT",IF(H8&lt;Summary!$B$8,"Thin","OK"))</f>
        <v>OK</v>
      </c>
      <c r="M8" s="32" t="s">
        <v>181</v>
      </c>
    </row>
    <row r="9" spans="1:13" x14ac:dyDescent="0.25">
      <c r="A9" s="33" t="s">
        <v>439</v>
      </c>
      <c r="B9" s="7">
        <v>1</v>
      </c>
      <c r="C9" s="33" t="s">
        <v>440</v>
      </c>
      <c r="D9" s="33" t="s">
        <v>358</v>
      </c>
      <c r="E9" s="33" t="s">
        <v>174</v>
      </c>
      <c r="F9" s="8" t="str">
        <f>INDEX(Parts!$B$3:$B$44,MATCH($E9,Parts!$A$3:$A$44,0))</f>
        <v>0402WGF3302TCE</v>
      </c>
      <c r="G9" s="8" t="str">
        <f>INDEX(Parts!$E$3:$E$44,MATCH($E9,Parts!$A$3:$A$44,0))</f>
        <v>Basic</v>
      </c>
      <c r="H9" s="34">
        <f>INDEX(Parts!$F$3:$F$44,MATCH($E9,Parts!$A$3:$A$44,0))</f>
        <v>1512746</v>
      </c>
      <c r="I9" s="35">
        <f>INDEX(Parts!$G$3:$G$44,MATCH($E9,Parts!$A$3:$A$44,0))</f>
        <v>9.1999999999999998E-3</v>
      </c>
      <c r="J9" s="23">
        <f t="shared" si="0"/>
        <v>9.1999999999999998E-3</v>
      </c>
      <c r="K9" s="33" t="str">
        <f>IF(INDEX(Parts!$H$3:$H$44,MATCH($E9,Parts!$A$3:$A$44,0))="No","JLC assembly","PRE-ORDER")</f>
        <v>JLC assembly</v>
      </c>
      <c r="L9" s="33" t="str">
        <f>IF(H9&lt;B9*Summary!$B$5,"SHORT",IF(H9&lt;Summary!$B$8,"Thin","OK"))</f>
        <v>OK</v>
      </c>
      <c r="M9" s="32" t="s">
        <v>177</v>
      </c>
    </row>
    <row r="10" spans="1:13" x14ac:dyDescent="0.25">
      <c r="A10" s="33" t="s">
        <v>441</v>
      </c>
      <c r="B10" s="7">
        <v>1</v>
      </c>
      <c r="C10" s="33" t="s">
        <v>442</v>
      </c>
      <c r="D10" s="33" t="s">
        <v>358</v>
      </c>
      <c r="E10" s="33" t="s">
        <v>158</v>
      </c>
      <c r="F10" s="8" t="str">
        <f>INDEX(Parts!$B$3:$B$44,MATCH($E10,Parts!$A$3:$A$44,0))</f>
        <v>0402WGF330JTCE</v>
      </c>
      <c r="G10" s="8" t="str">
        <f>INDEX(Parts!$E$3:$E$44,MATCH($E10,Parts!$A$3:$A$44,0))</f>
        <v>Basic</v>
      </c>
      <c r="H10" s="34">
        <f>INDEX(Parts!$F$3:$F$44,MATCH($E10,Parts!$A$3:$A$44,0))</f>
        <v>2403330</v>
      </c>
      <c r="I10" s="35">
        <f>INDEX(Parts!$G$3:$G$44,MATCH($E10,Parts!$A$3:$A$44,0))</f>
        <v>4.1000000000000003E-3</v>
      </c>
      <c r="J10" s="23">
        <f t="shared" si="0"/>
        <v>4.1000000000000003E-3</v>
      </c>
      <c r="K10" s="33" t="str">
        <f>IF(INDEX(Parts!$H$3:$H$44,MATCH($E10,Parts!$A$3:$A$44,0))="No","JLC assembly","PRE-ORDER")</f>
        <v>JLC assembly</v>
      </c>
      <c r="L10" s="33" t="str">
        <f>IF(H10&lt;B10*Summary!$B$5,"SHORT",IF(H10&lt;Summary!$B$8,"Thin","OK"))</f>
        <v>OK</v>
      </c>
      <c r="M10" s="32" t="s">
        <v>161</v>
      </c>
    </row>
    <row r="11" spans="1:13" x14ac:dyDescent="0.25">
      <c r="A11" s="33" t="s">
        <v>443</v>
      </c>
      <c r="B11" s="7">
        <v>4</v>
      </c>
      <c r="C11" s="33" t="s">
        <v>360</v>
      </c>
      <c r="D11" s="33" t="s">
        <v>358</v>
      </c>
      <c r="E11" s="33" t="s">
        <v>166</v>
      </c>
      <c r="F11" s="8" t="str">
        <f>INDEX(Parts!$B$3:$B$44,MATCH($E11,Parts!$A$3:$A$44,0))</f>
        <v>0402WGF1002TCE</v>
      </c>
      <c r="G11" s="8" t="str">
        <f>INDEX(Parts!$E$3:$E$44,MATCH($E11,Parts!$A$3:$A$44,0))</f>
        <v>Basic</v>
      </c>
      <c r="H11" s="34">
        <f>INDEX(Parts!$F$3:$F$44,MATCH($E11,Parts!$A$3:$A$44,0))</f>
        <v>30863902</v>
      </c>
      <c r="I11" s="35">
        <f>INDEX(Parts!$G$3:$G$44,MATCH($E11,Parts!$A$3:$A$44,0))</f>
        <v>3.0999999999999999E-3</v>
      </c>
      <c r="J11" s="23">
        <f t="shared" si="0"/>
        <v>1.24E-2</v>
      </c>
      <c r="K11" s="33" t="str">
        <f>IF(INDEX(Parts!$H$3:$H$44,MATCH($E11,Parts!$A$3:$A$44,0))="No","JLC assembly","PRE-ORDER")</f>
        <v>JLC assembly</v>
      </c>
      <c r="L11" s="33" t="str">
        <f>IF(H11&lt;B11*Summary!$B$5,"SHORT",IF(H11&lt;Summary!$B$8,"Thin","OK"))</f>
        <v>OK</v>
      </c>
      <c r="M11" s="32" t="s">
        <v>169</v>
      </c>
    </row>
    <row r="12" spans="1:13" x14ac:dyDescent="0.25">
      <c r="A12" s="33" t="s">
        <v>378</v>
      </c>
      <c r="B12" s="7">
        <v>1</v>
      </c>
      <c r="C12" s="33" t="s">
        <v>444</v>
      </c>
      <c r="D12" s="33" t="s">
        <v>445</v>
      </c>
      <c r="E12" s="33" t="s">
        <v>305</v>
      </c>
      <c r="F12" s="8" t="str">
        <f>INDEX(Parts!$B$3:$B$44,MATCH($E12,Parts!$A$3:$A$44,0))</f>
        <v>AP2127K-ADJTRG1</v>
      </c>
      <c r="G12" s="8" t="str">
        <f>INDEX(Parts!$E$3:$E$44,MATCH($E12,Parts!$A$3:$A$44,0))</f>
        <v>Extended</v>
      </c>
      <c r="H12" s="34">
        <f>INDEX(Parts!$F$3:$F$44,MATCH($E12,Parts!$A$3:$A$44,0))</f>
        <v>50060</v>
      </c>
      <c r="I12" s="35">
        <f>INDEX(Parts!$G$3:$G$44,MATCH($E12,Parts!$A$3:$A$44,0))</f>
        <v>0.12690000000000001</v>
      </c>
      <c r="J12" s="23">
        <f t="shared" si="0"/>
        <v>0.12690000000000001</v>
      </c>
      <c r="K12" s="33" t="str">
        <f>IF(INDEX(Parts!$H$3:$H$44,MATCH($E12,Parts!$A$3:$A$44,0))="No","JLC assembly","PRE-ORDER")</f>
        <v>JLC assembly</v>
      </c>
      <c r="L12" s="33" t="str">
        <f>IF(H12&lt;B12*Summary!$B$5,"SHORT",IF(H12&lt;Summary!$B$8,"Thin","OK"))</f>
        <v>OK</v>
      </c>
      <c r="M12" s="32" t="s">
        <v>309</v>
      </c>
    </row>
    <row r="13" spans="1:13" x14ac:dyDescent="0.25">
      <c r="A13" s="33" t="s">
        <v>380</v>
      </c>
      <c r="B13" s="7">
        <v>1</v>
      </c>
      <c r="C13" s="33" t="s">
        <v>297</v>
      </c>
      <c r="D13" s="33" t="s">
        <v>446</v>
      </c>
      <c r="E13" s="33" t="s">
        <v>296</v>
      </c>
      <c r="F13" s="8" t="str">
        <f>INDEX(Parts!$B$3:$B$44,MATCH($E13,Parts!$A$3:$A$44,0))</f>
        <v>BNO055</v>
      </c>
      <c r="G13" s="8" t="str">
        <f>INDEX(Parts!$E$3:$E$44,MATCH($E13,Parts!$A$3:$A$44,0))</f>
        <v>Extended</v>
      </c>
      <c r="H13" s="34">
        <f>INDEX(Parts!$F$3:$F$44,MATCH($E13,Parts!$A$3:$A$44,0))</f>
        <v>8957</v>
      </c>
      <c r="I13" s="35">
        <f>INDEX(Parts!$G$3:$G$44,MATCH($E13,Parts!$A$3:$A$44,0))</f>
        <v>9.3239000000000001</v>
      </c>
      <c r="J13" s="23">
        <f t="shared" si="0"/>
        <v>9.3239000000000001</v>
      </c>
      <c r="K13" s="33" t="str">
        <f>IF(INDEX(Parts!$H$3:$H$44,MATCH($E13,Parts!$A$3:$A$44,0))="No","JLC assembly","PRE-ORDER")</f>
        <v>JLC assembly</v>
      </c>
      <c r="L13" s="33" t="str">
        <f>IF(H13&lt;B13*Summary!$B$5,"SHORT",IF(H13&lt;Summary!$B$8,"Thin","OK"))</f>
        <v>OK</v>
      </c>
      <c r="M13" s="32" t="s">
        <v>300</v>
      </c>
    </row>
    <row r="14" spans="1:13" x14ac:dyDescent="0.25">
      <c r="A14" s="33" t="s">
        <v>447</v>
      </c>
      <c r="B14" s="7">
        <v>1</v>
      </c>
      <c r="C14" s="33" t="s">
        <v>448</v>
      </c>
      <c r="D14" s="33" t="s">
        <v>449</v>
      </c>
      <c r="E14" s="33" t="s">
        <v>245</v>
      </c>
      <c r="F14" s="8" t="str">
        <f>INDEX(Parts!$B$3:$B$44,MATCH($E14,Parts!$A$3:$A$44,0))</f>
        <v>Q13FC13500004</v>
      </c>
      <c r="G14" s="8" t="str">
        <f>INDEX(Parts!$E$3:$E$44,MATCH($E14,Parts!$A$3:$A$44,0))</f>
        <v>Basic</v>
      </c>
      <c r="H14" s="34">
        <f>INDEX(Parts!$F$3:$F$44,MATCH($E14,Parts!$A$3:$A$44,0))</f>
        <v>761776</v>
      </c>
      <c r="I14" s="35">
        <f>INDEX(Parts!$G$3:$G$44,MATCH($E14,Parts!$A$3:$A$44,0))</f>
        <v>0.1714</v>
      </c>
      <c r="J14" s="23">
        <f t="shared" si="0"/>
        <v>0.1714</v>
      </c>
      <c r="K14" s="33" t="str">
        <f>IF(INDEX(Parts!$H$3:$H$44,MATCH($E14,Parts!$A$3:$A$44,0))="No","JLC assembly","PRE-ORDER")</f>
        <v>JLC assembly</v>
      </c>
      <c r="L14" s="33" t="str">
        <f>IF(H14&lt;B14*Summary!$B$5,"SHORT",IF(H14&lt;Summary!$B$8,"Thin","OK"))</f>
        <v>OK</v>
      </c>
      <c r="M14" s="32" t="s">
        <v>249</v>
      </c>
    </row>
    <row r="15" spans="1:13" x14ac:dyDescent="0.25">
      <c r="A15" s="33" t="s">
        <v>450</v>
      </c>
      <c r="B15" s="7">
        <v>1</v>
      </c>
      <c r="C15" s="33" t="s">
        <v>451</v>
      </c>
      <c r="D15" s="33" t="s">
        <v>452</v>
      </c>
      <c r="E15" s="33"/>
      <c r="F15" s="36"/>
      <c r="G15" s="36"/>
      <c r="H15" s="36"/>
      <c r="I15" s="21">
        <v>0</v>
      </c>
      <c r="J15" s="23">
        <f t="shared" si="0"/>
        <v>0</v>
      </c>
      <c r="K15" s="33" t="s">
        <v>453</v>
      </c>
      <c r="L15" s="33" t="s">
        <v>391</v>
      </c>
      <c r="M15" s="32" t="s">
        <v>454</v>
      </c>
    </row>
    <row r="17" spans="1:10" x14ac:dyDescent="0.25">
      <c r="A17" s="12" t="s">
        <v>394</v>
      </c>
      <c r="B17" s="12">
        <f>SUM(B3:B15)</f>
        <v>23</v>
      </c>
      <c r="J17" s="17">
        <f>SUM(J3:J15)</f>
        <v>9.9899000000000004</v>
      </c>
    </row>
    <row r="18" spans="1:10" x14ac:dyDescent="0.25">
      <c r="A18" s="3" t="s">
        <v>395</v>
      </c>
      <c r="B18" s="37">
        <f>COUNTIF(G3:G15,"Extended")</f>
        <v>3</v>
      </c>
    </row>
    <row r="19" spans="1:10" x14ac:dyDescent="0.25">
      <c r="A19" s="3" t="s">
        <v>396</v>
      </c>
      <c r="B19" s="37">
        <f>COUNTBLANK(E3:E15)</f>
        <v>1</v>
      </c>
    </row>
    <row r="20" spans="1:10" x14ac:dyDescent="0.25">
      <c r="A20" s="3" t="s">
        <v>397</v>
      </c>
      <c r="B20" s="37">
        <f>COUNTIF(L3:L15,"Thin")+COUNTIF(L3:L15,"SHORT")</f>
        <v>1</v>
      </c>
    </row>
    <row r="21" spans="1:10" x14ac:dyDescent="0.25">
      <c r="A21" s="3" t="s">
        <v>398</v>
      </c>
      <c r="B21" s="37">
        <f>COUNTIF(L3:L15,"SHORT")</f>
        <v>0</v>
      </c>
    </row>
  </sheetData>
  <hyperlinks>
    <hyperlink ref="M3" r:id="rId1" xr:uid="{00000000-0004-0000-0500-000000000000}"/>
    <hyperlink ref="M4" r:id="rId2" xr:uid="{00000000-0004-0000-0500-000001000000}"/>
    <hyperlink ref="M5" r:id="rId3" xr:uid="{00000000-0004-0000-0500-000002000000}"/>
    <hyperlink ref="M6" r:id="rId4" xr:uid="{00000000-0004-0000-0500-000003000000}"/>
    <hyperlink ref="M7" r:id="rId5" xr:uid="{00000000-0004-0000-0500-000004000000}"/>
    <hyperlink ref="M8" r:id="rId6" xr:uid="{00000000-0004-0000-0500-000005000000}"/>
    <hyperlink ref="M9" r:id="rId7" xr:uid="{00000000-0004-0000-0500-000006000000}"/>
    <hyperlink ref="M10" r:id="rId8" xr:uid="{00000000-0004-0000-0500-000007000000}"/>
    <hyperlink ref="M11" r:id="rId9" xr:uid="{00000000-0004-0000-0500-000008000000}"/>
    <hyperlink ref="M12" r:id="rId10" xr:uid="{00000000-0004-0000-0500-000009000000}"/>
    <hyperlink ref="M13" r:id="rId11" xr:uid="{00000000-0004-0000-0500-00000A000000}"/>
    <hyperlink ref="M14" r:id="rId12" xr:uid="{00000000-0004-0000-0500-00000B000000}"/>
    <hyperlink ref="M15" r:id="rId13" xr:uid="{00000000-0004-0000-0500-00000C000000}"/>
  </hyperlinks>
  <pageMargins left="0.75" right="0.75" top="1" bottom="1" header="0.5" footer="0.5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"/>
  <sheetViews>
    <sheetView workbookViewId="0"/>
  </sheetViews>
  <sheetFormatPr defaultRowHeight="15" x14ac:dyDescent="0.25"/>
  <cols>
    <col min="1" max="1" width="10" customWidth="1"/>
    <col min="2" max="2" width="26" customWidth="1"/>
    <col min="3" max="4" width="52" customWidth="1"/>
    <col min="5" max="5" width="40" customWidth="1"/>
    <col min="6" max="6" width="44" customWidth="1"/>
  </cols>
  <sheetData>
    <row r="1" spans="1:6" x14ac:dyDescent="0.25">
      <c r="A1" s="5" t="s">
        <v>7</v>
      </c>
      <c r="B1" s="5" t="s">
        <v>455</v>
      </c>
      <c r="C1" s="5" t="s">
        <v>456</v>
      </c>
      <c r="D1" s="5" t="s">
        <v>457</v>
      </c>
      <c r="E1" s="5" t="s">
        <v>458</v>
      </c>
      <c r="F1" s="5" t="s">
        <v>459</v>
      </c>
    </row>
    <row r="2" spans="1:6" ht="25.5" x14ac:dyDescent="0.25">
      <c r="A2" s="38" t="s">
        <v>460</v>
      </c>
      <c r="B2" s="38" t="s">
        <v>461</v>
      </c>
      <c r="C2" s="38" t="s">
        <v>462</v>
      </c>
      <c r="D2" s="38" t="s">
        <v>463</v>
      </c>
      <c r="E2" s="38" t="s">
        <v>464</v>
      </c>
      <c r="F2" s="38" t="s">
        <v>465</v>
      </c>
    </row>
    <row r="3" spans="1:6" ht="25.5" x14ac:dyDescent="0.25">
      <c r="A3" s="38" t="s">
        <v>460</v>
      </c>
      <c r="B3" s="38" t="s">
        <v>466</v>
      </c>
      <c r="C3" s="38" t="s">
        <v>467</v>
      </c>
      <c r="D3" s="38" t="s">
        <v>468</v>
      </c>
      <c r="E3" s="38" t="s">
        <v>469</v>
      </c>
      <c r="F3" s="38" t="s">
        <v>465</v>
      </c>
    </row>
    <row r="4" spans="1:6" x14ac:dyDescent="0.25">
      <c r="A4" s="38" t="s">
        <v>460</v>
      </c>
      <c r="B4" s="38" t="s">
        <v>470</v>
      </c>
      <c r="C4" s="38" t="s">
        <v>471</v>
      </c>
      <c r="D4" s="38" t="s">
        <v>472</v>
      </c>
      <c r="E4" s="38" t="s">
        <v>473</v>
      </c>
      <c r="F4" s="38" t="s">
        <v>465</v>
      </c>
    </row>
    <row r="5" spans="1:6" ht="25.5" x14ac:dyDescent="0.25">
      <c r="A5" s="38" t="s">
        <v>460</v>
      </c>
      <c r="B5" s="38" t="s">
        <v>474</v>
      </c>
      <c r="C5" s="38" t="s">
        <v>475</v>
      </c>
      <c r="D5" s="38" t="s">
        <v>476</v>
      </c>
      <c r="E5" s="38" t="s">
        <v>477</v>
      </c>
      <c r="F5" s="38" t="s">
        <v>465</v>
      </c>
    </row>
    <row r="6" spans="1:6" ht="25.5" x14ac:dyDescent="0.25">
      <c r="A6" s="38" t="s">
        <v>478</v>
      </c>
      <c r="B6" s="38" t="s">
        <v>479</v>
      </c>
      <c r="C6" s="38" t="s">
        <v>480</v>
      </c>
      <c r="D6" s="38" t="s">
        <v>481</v>
      </c>
      <c r="E6" s="38" t="s">
        <v>482</v>
      </c>
      <c r="F6" s="38" t="s">
        <v>483</v>
      </c>
    </row>
    <row r="7" spans="1:6" ht="25.5" x14ac:dyDescent="0.25">
      <c r="A7" s="38" t="s">
        <v>484</v>
      </c>
      <c r="B7" s="38" t="s">
        <v>485</v>
      </c>
      <c r="C7" s="38" t="s">
        <v>486</v>
      </c>
      <c r="D7" s="38" t="s">
        <v>487</v>
      </c>
      <c r="E7" s="38"/>
      <c r="F7" s="38" t="s">
        <v>488</v>
      </c>
    </row>
    <row r="8" spans="1:6" ht="38.25" x14ac:dyDescent="0.25">
      <c r="A8" s="38" t="s">
        <v>478</v>
      </c>
      <c r="B8" s="38" t="s">
        <v>489</v>
      </c>
      <c r="C8" s="38" t="s">
        <v>490</v>
      </c>
      <c r="D8" s="38" t="s">
        <v>491</v>
      </c>
      <c r="E8" s="38" t="s">
        <v>492</v>
      </c>
      <c r="F8" s="38" t="s">
        <v>493</v>
      </c>
    </row>
    <row r="9" spans="1:6" ht="38.25" x14ac:dyDescent="0.25">
      <c r="A9" s="38" t="s">
        <v>478</v>
      </c>
      <c r="B9" s="38" t="s">
        <v>494</v>
      </c>
      <c r="C9" s="38" t="s">
        <v>495</v>
      </c>
      <c r="D9" s="38" t="s">
        <v>496</v>
      </c>
      <c r="E9" s="38" t="s">
        <v>497</v>
      </c>
      <c r="F9" s="38" t="s">
        <v>498</v>
      </c>
    </row>
    <row r="10" spans="1:6" ht="38.25" x14ac:dyDescent="0.25">
      <c r="A10" s="38" t="s">
        <v>478</v>
      </c>
      <c r="B10" s="38" t="s">
        <v>499</v>
      </c>
      <c r="C10" s="38" t="s">
        <v>500</v>
      </c>
      <c r="D10" s="38" t="s">
        <v>501</v>
      </c>
      <c r="E10" s="38"/>
      <c r="F10" s="38" t="s">
        <v>488</v>
      </c>
    </row>
    <row r="11" spans="1:6" ht="38.25" x14ac:dyDescent="0.25">
      <c r="A11" s="38" t="s">
        <v>478</v>
      </c>
      <c r="B11" s="38" t="s">
        <v>502</v>
      </c>
      <c r="C11" s="38" t="s">
        <v>503</v>
      </c>
      <c r="D11" s="38" t="s">
        <v>501</v>
      </c>
      <c r="E11" s="38"/>
      <c r="F11" s="38" t="s">
        <v>488</v>
      </c>
    </row>
    <row r="12" spans="1:6" ht="38.25" x14ac:dyDescent="0.25">
      <c r="A12" s="38" t="s">
        <v>478</v>
      </c>
      <c r="B12" s="38" t="s">
        <v>504</v>
      </c>
      <c r="C12" s="38" t="s">
        <v>505</v>
      </c>
      <c r="D12" s="38" t="s">
        <v>506</v>
      </c>
      <c r="E12" s="38"/>
      <c r="F12" s="38" t="s">
        <v>507</v>
      </c>
    </row>
    <row r="13" spans="1:6" ht="25.5" x14ac:dyDescent="0.25">
      <c r="A13" s="38" t="s">
        <v>508</v>
      </c>
      <c r="B13" s="38" t="s">
        <v>509</v>
      </c>
      <c r="C13" s="38" t="s">
        <v>510</v>
      </c>
      <c r="D13" s="38" t="s">
        <v>511</v>
      </c>
      <c r="E13" s="38" t="s">
        <v>512</v>
      </c>
      <c r="F13" s="38" t="s">
        <v>513</v>
      </c>
    </row>
    <row r="14" spans="1:6" ht="25.5" x14ac:dyDescent="0.25">
      <c r="A14" s="38" t="s">
        <v>478</v>
      </c>
      <c r="B14" s="38" t="s">
        <v>514</v>
      </c>
      <c r="C14" s="38" t="s">
        <v>515</v>
      </c>
      <c r="D14" s="38" t="s">
        <v>516</v>
      </c>
      <c r="E14" s="38" t="s">
        <v>517</v>
      </c>
      <c r="F14" s="38" t="s">
        <v>518</v>
      </c>
    </row>
    <row r="15" spans="1:6" ht="38.25" x14ac:dyDescent="0.25">
      <c r="A15" s="38" t="s">
        <v>519</v>
      </c>
      <c r="B15" s="38" t="s">
        <v>520</v>
      </c>
      <c r="C15" s="38" t="s">
        <v>521</v>
      </c>
      <c r="D15" s="38" t="s">
        <v>522</v>
      </c>
      <c r="E15" s="38" t="s">
        <v>523</v>
      </c>
      <c r="F15" s="38" t="s">
        <v>524</v>
      </c>
    </row>
    <row r="16" spans="1:6" ht="38.25" x14ac:dyDescent="0.25">
      <c r="A16" s="38" t="s">
        <v>525</v>
      </c>
      <c r="B16" s="38" t="s">
        <v>526</v>
      </c>
      <c r="C16" s="38" t="s">
        <v>527</v>
      </c>
      <c r="D16" s="38" t="s">
        <v>528</v>
      </c>
      <c r="E16" s="38" t="s">
        <v>529</v>
      </c>
      <c r="F16" s="38" t="s">
        <v>530</v>
      </c>
    </row>
    <row r="17" spans="1:6" ht="25.5" x14ac:dyDescent="0.25">
      <c r="A17" s="38" t="s">
        <v>478</v>
      </c>
      <c r="B17" s="38" t="s">
        <v>531</v>
      </c>
      <c r="C17" s="38" t="s">
        <v>532</v>
      </c>
      <c r="D17" s="38" t="s">
        <v>533</v>
      </c>
      <c r="E17" s="38" t="s">
        <v>534</v>
      </c>
      <c r="F17" s="38" t="s">
        <v>535</v>
      </c>
    </row>
    <row r="18" spans="1:6" ht="25.5" x14ac:dyDescent="0.25">
      <c r="A18" s="38" t="s">
        <v>478</v>
      </c>
      <c r="B18" s="38" t="s">
        <v>536</v>
      </c>
      <c r="C18" s="38" t="s">
        <v>537</v>
      </c>
      <c r="D18" s="38" t="s">
        <v>538</v>
      </c>
      <c r="E18" s="38" t="s">
        <v>539</v>
      </c>
      <c r="F18" s="38" t="s">
        <v>540</v>
      </c>
    </row>
    <row r="19" spans="1:6" ht="25.5" x14ac:dyDescent="0.25">
      <c r="A19" s="38" t="s">
        <v>460</v>
      </c>
      <c r="B19" s="38" t="s">
        <v>541</v>
      </c>
      <c r="C19" s="38" t="s">
        <v>542</v>
      </c>
      <c r="D19" s="38" t="s">
        <v>543</v>
      </c>
      <c r="E19" s="38" t="s">
        <v>544</v>
      </c>
      <c r="F19" s="38" t="s">
        <v>545</v>
      </c>
    </row>
    <row r="20" spans="1:6" ht="25.5" x14ac:dyDescent="0.25">
      <c r="A20" s="38" t="s">
        <v>460</v>
      </c>
      <c r="B20" s="38" t="s">
        <v>546</v>
      </c>
      <c r="C20" s="38" t="s">
        <v>547</v>
      </c>
      <c r="D20" s="38" t="s">
        <v>548</v>
      </c>
      <c r="E20" s="38" t="s">
        <v>549</v>
      </c>
      <c r="F20" s="38" t="s">
        <v>550</v>
      </c>
    </row>
    <row r="21" spans="1:6" ht="38.25" x14ac:dyDescent="0.25">
      <c r="A21" s="38" t="s">
        <v>551</v>
      </c>
      <c r="B21" s="38" t="s">
        <v>552</v>
      </c>
      <c r="C21" s="38" t="s">
        <v>553</v>
      </c>
      <c r="D21" s="38" t="s">
        <v>554</v>
      </c>
      <c r="E21" s="38" t="s">
        <v>555</v>
      </c>
      <c r="F21" s="38" t="s">
        <v>556</v>
      </c>
    </row>
    <row r="22" spans="1:6" ht="38.25" x14ac:dyDescent="0.25">
      <c r="A22" s="38" t="s">
        <v>551</v>
      </c>
      <c r="B22" s="38" t="s">
        <v>557</v>
      </c>
      <c r="C22" s="38" t="s">
        <v>558</v>
      </c>
      <c r="D22" s="38" t="s">
        <v>559</v>
      </c>
      <c r="E22" s="38" t="s">
        <v>560</v>
      </c>
      <c r="F22" s="38" t="s">
        <v>561</v>
      </c>
    </row>
    <row r="23" spans="1:6" ht="38.25" x14ac:dyDescent="0.25">
      <c r="A23" s="38" t="s">
        <v>460</v>
      </c>
      <c r="B23" s="38" t="s">
        <v>562</v>
      </c>
      <c r="C23" s="38" t="s">
        <v>563</v>
      </c>
      <c r="D23" s="38" t="s">
        <v>564</v>
      </c>
      <c r="E23" s="38" t="s">
        <v>565</v>
      </c>
      <c r="F23" s="38" t="s">
        <v>566</v>
      </c>
    </row>
    <row r="24" spans="1:6" ht="25.5" x14ac:dyDescent="0.25">
      <c r="A24" s="38" t="s">
        <v>478</v>
      </c>
      <c r="B24" s="38" t="s">
        <v>567</v>
      </c>
      <c r="C24" s="38" t="s">
        <v>568</v>
      </c>
      <c r="D24" s="38" t="s">
        <v>569</v>
      </c>
      <c r="E24" s="38" t="s">
        <v>570</v>
      </c>
      <c r="F24" s="38" t="s">
        <v>571</v>
      </c>
    </row>
    <row r="25" spans="1:6" ht="25.5" x14ac:dyDescent="0.25">
      <c r="A25" s="38" t="s">
        <v>572</v>
      </c>
      <c r="B25" s="38" t="s">
        <v>573</v>
      </c>
      <c r="C25" s="38" t="s">
        <v>574</v>
      </c>
      <c r="D25" s="38" t="s">
        <v>575</v>
      </c>
      <c r="E25" s="38" t="s">
        <v>576</v>
      </c>
      <c r="F25" s="38" t="s">
        <v>577</v>
      </c>
    </row>
    <row r="26" spans="1:6" ht="25.5" x14ac:dyDescent="0.25">
      <c r="A26" s="38" t="s">
        <v>460</v>
      </c>
      <c r="B26" s="38" t="s">
        <v>578</v>
      </c>
      <c r="C26" s="38" t="s">
        <v>579</v>
      </c>
      <c r="D26" s="38" t="s">
        <v>580</v>
      </c>
      <c r="E26" s="38" t="s">
        <v>581</v>
      </c>
      <c r="F26" s="38" t="s">
        <v>513</v>
      </c>
    </row>
    <row r="27" spans="1:6" ht="25.5" x14ac:dyDescent="0.25">
      <c r="A27" s="38" t="s">
        <v>525</v>
      </c>
      <c r="B27" s="38" t="s">
        <v>582</v>
      </c>
      <c r="C27" s="38" t="s">
        <v>583</v>
      </c>
      <c r="D27" s="38" t="s">
        <v>584</v>
      </c>
      <c r="E27" s="38" t="s">
        <v>585</v>
      </c>
      <c r="F27" s="38" t="s">
        <v>513</v>
      </c>
    </row>
    <row r="28" spans="1:6" x14ac:dyDescent="0.25">
      <c r="A28" s="38" t="s">
        <v>478</v>
      </c>
      <c r="B28" s="38" t="s">
        <v>586</v>
      </c>
      <c r="C28" s="38" t="s">
        <v>587</v>
      </c>
      <c r="D28" s="38" t="s">
        <v>588</v>
      </c>
      <c r="E28" s="38" t="s">
        <v>589</v>
      </c>
      <c r="F28" s="38" t="s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Costing</vt:lpstr>
      <vt:lpstr>Parts</vt:lpstr>
      <vt:lpstr>Motion</vt:lpstr>
      <vt:lpstr>Vision</vt:lpstr>
      <vt:lpstr>Odometry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Graves</cp:lastModifiedBy>
  <dcterms:created xsi:type="dcterms:W3CDTF">2026-09-09T01:13:00Z</dcterms:created>
  <dcterms:modified xsi:type="dcterms:W3CDTF">2026-09-09T01:13:01Z</dcterms:modified>
</cp:coreProperties>
</file>